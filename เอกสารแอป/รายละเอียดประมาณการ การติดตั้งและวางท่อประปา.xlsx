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20" yWindow="-120" windowWidth="21840" windowHeight="13140" activeTab="7"/>
  </bookViews>
  <sheets>
    <sheet name="PB 40(ปลอก)" sheetId="43" r:id="rId1"/>
    <sheet name="PVC 100(ปลอก)" sheetId="44" r:id="rId2"/>
    <sheet name="PB 50(ปลอก)" sheetId="46" r:id="rId3"/>
    <sheet name="PB 40ราชการ" sheetId="45" r:id="rId4"/>
    <sheet name="PB 40" sheetId="31" r:id="rId5"/>
    <sheet name="PB 50" sheetId="28" r:id="rId6"/>
    <sheet name="PVC 100 (ปลอก)" sheetId="56" r:id="rId7"/>
    <sheet name="PVC 100" sheetId="29" r:id="rId8"/>
    <sheet name="PVC 150 (ปลอก)" sheetId="52" r:id="rId9"/>
    <sheet name="PVC 150" sheetId="34" r:id="rId10"/>
    <sheet name="PVC 200 (ปลอก)" sheetId="50" r:id="rId11"/>
    <sheet name="PVC 200" sheetId="33" r:id="rId12"/>
    <sheet name="PVC 300" sheetId="32" r:id="rId13"/>
    <sheet name="PE 110 (ปลอก)" sheetId="54" r:id="rId14"/>
    <sheet name="PE 110" sheetId="30" r:id="rId15"/>
    <sheet name="PE 160 ปลอก" sheetId="49" r:id="rId16"/>
    <sheet name="PE 160" sheetId="35" r:id="rId17"/>
    <sheet name="PE 225 (ปลอก)" sheetId="53" r:id="rId18"/>
    <sheet name="PE 225" sheetId="36" r:id="rId19"/>
    <sheet name="PE 315 (ปลอก)" sheetId="51" r:id="rId20"/>
    <sheet name="ชั่วคราว PE 315 " sheetId="55" r:id="rId21"/>
    <sheet name="PE 315" sheetId="37" r:id="rId22"/>
    <sheet name="PE 400" sheetId="38" r:id="rId23"/>
  </sheets>
  <definedNames>
    <definedName name="_xlnm.Print_Area" localSheetId="4">'PB 40'!$A$1:$J$44</definedName>
    <definedName name="_xlnm.Print_Area" localSheetId="0">'PB 40(ปลอก)'!$A$1:$J$45</definedName>
    <definedName name="_xlnm.Print_Area" localSheetId="3">'PB 40ราชการ'!$A$1:$J$44</definedName>
    <definedName name="_xlnm.Print_Area" localSheetId="5">'PB 50'!$A$1:$J$43</definedName>
    <definedName name="_xlnm.Print_Area" localSheetId="2">'PB 50(ปลอก)'!$A$1:$J$44</definedName>
    <definedName name="_xlnm.Print_Area" localSheetId="14">'PE 110'!$A$1:$J$45</definedName>
    <definedName name="_xlnm.Print_Area" localSheetId="13">'PE 110 (ปลอก)'!$A$1:$J$45</definedName>
    <definedName name="_xlnm.Print_Area" localSheetId="16">'PE 160'!$A$1:$J$45</definedName>
    <definedName name="_xlnm.Print_Area" localSheetId="15">'PE 160 ปลอก'!$A$1:$J$45</definedName>
    <definedName name="_xlnm.Print_Area" localSheetId="18">'PE 225'!$A$1:$J$44</definedName>
    <definedName name="_xlnm.Print_Area" localSheetId="17">'PE 225 (ปลอก)'!$A$1:$J$45</definedName>
    <definedName name="_xlnm.Print_Area" localSheetId="21">'PE 315'!$A$1:$J$46</definedName>
    <definedName name="_xlnm.Print_Area" localSheetId="19">'PE 315 (ปลอก)'!$A$1:$J$47</definedName>
    <definedName name="_xlnm.Print_Area" localSheetId="22">'PE 400'!$A$1:$J$46</definedName>
    <definedName name="_xlnm.Print_Area" localSheetId="7">'PVC 100'!$A$1:$J$45</definedName>
    <definedName name="_xlnm.Print_Area" localSheetId="6">'PVC 100 (ปลอก)'!$A$1:$J$46</definedName>
    <definedName name="_xlnm.Print_Area" localSheetId="1">'PVC 100(ปลอก)'!$A$1:$J$45</definedName>
    <definedName name="_xlnm.Print_Area" localSheetId="9">'PVC 150'!$A$1:$J$45</definedName>
    <definedName name="_xlnm.Print_Area" localSheetId="8">'PVC 150 (ปลอก)'!$A$1:$J$46</definedName>
    <definedName name="_xlnm.Print_Area" localSheetId="11">'PVC 200'!$A$1:$J$45</definedName>
    <definedName name="_xlnm.Print_Area" localSheetId="10">'PVC 200 (ปลอก)'!$A$1:$J$46</definedName>
    <definedName name="_xlnm.Print_Area" localSheetId="12">'PVC 300'!$A$1:$J$44</definedName>
    <definedName name="_xlnm.Print_Area" localSheetId="20">'ชั่วคราว PE 315 '!$A$1:$J$46</definedName>
  </definedNames>
  <calcPr calcId="125725"/>
</workbook>
</file>

<file path=xl/calcChain.xml><?xml version="1.0" encoding="utf-8"?>
<calcChain xmlns="http://schemas.openxmlformats.org/spreadsheetml/2006/main">
  <c r="G8" i="46"/>
  <c r="C40" i="56"/>
  <c r="A41" s="1"/>
  <c r="J35"/>
  <c r="I35"/>
  <c r="G35"/>
  <c r="G34"/>
  <c r="G33"/>
  <c r="J30"/>
  <c r="I30"/>
  <c r="G30"/>
  <c r="G29"/>
  <c r="G28"/>
  <c r="I22"/>
  <c r="G22"/>
  <c r="I21"/>
  <c r="G21"/>
  <c r="I20"/>
  <c r="G20"/>
  <c r="I19"/>
  <c r="G19"/>
  <c r="I18"/>
  <c r="G18"/>
  <c r="I17"/>
  <c r="G17"/>
  <c r="I16"/>
  <c r="G16"/>
  <c r="I15"/>
  <c r="G15"/>
  <c r="I14"/>
  <c r="G14"/>
  <c r="I12"/>
  <c r="G12"/>
  <c r="G10"/>
  <c r="G8"/>
  <c r="I7"/>
  <c r="I10" s="1"/>
  <c r="G7"/>
  <c r="I20" i="35"/>
  <c r="G20"/>
  <c r="C39" i="55"/>
  <c r="A40" s="1"/>
  <c r="I34"/>
  <c r="G32"/>
  <c r="I29"/>
  <c r="G27"/>
  <c r="G28" s="1"/>
  <c r="G21"/>
  <c r="G20"/>
  <c r="G19"/>
  <c r="G18"/>
  <c r="G17"/>
  <c r="G16"/>
  <c r="G15"/>
  <c r="G14"/>
  <c r="I13"/>
  <c r="G13"/>
  <c r="I12"/>
  <c r="I24" s="1"/>
  <c r="G12"/>
  <c r="I10"/>
  <c r="I7"/>
  <c r="G7"/>
  <c r="G8" s="1"/>
  <c r="G10" s="1"/>
  <c r="I13" i="54"/>
  <c r="G13"/>
  <c r="G14"/>
  <c r="I14"/>
  <c r="C40"/>
  <c r="A41" s="1"/>
  <c r="I35"/>
  <c r="G33"/>
  <c r="G34" s="1"/>
  <c r="G35" s="1"/>
  <c r="I30"/>
  <c r="G28"/>
  <c r="I22"/>
  <c r="G22"/>
  <c r="I21"/>
  <c r="G21"/>
  <c r="I20"/>
  <c r="G20"/>
  <c r="I19"/>
  <c r="G19"/>
  <c r="I18"/>
  <c r="G18"/>
  <c r="I17"/>
  <c r="G17"/>
  <c r="I16"/>
  <c r="G16"/>
  <c r="I15"/>
  <c r="G15"/>
  <c r="I12"/>
  <c r="G12"/>
  <c r="I7"/>
  <c r="I10" s="1"/>
  <c r="G7"/>
  <c r="G8" s="1"/>
  <c r="G10" s="1"/>
  <c r="G13" i="53"/>
  <c r="I13"/>
  <c r="C40"/>
  <c r="A41" s="1"/>
  <c r="I35"/>
  <c r="G33"/>
  <c r="I30"/>
  <c r="G28"/>
  <c r="I22"/>
  <c r="G22"/>
  <c r="I21"/>
  <c r="G21"/>
  <c r="I20"/>
  <c r="G20"/>
  <c r="I19"/>
  <c r="G19"/>
  <c r="I18"/>
  <c r="G18"/>
  <c r="I17"/>
  <c r="G17"/>
  <c r="I16"/>
  <c r="G16"/>
  <c r="I15"/>
  <c r="G15"/>
  <c r="I14"/>
  <c r="G14"/>
  <c r="I12"/>
  <c r="G12"/>
  <c r="I7"/>
  <c r="I10" s="1"/>
  <c r="G7"/>
  <c r="G8" s="1"/>
  <c r="G10" s="1"/>
  <c r="I20" i="46"/>
  <c r="G20"/>
  <c r="I19"/>
  <c r="G19"/>
  <c r="I18"/>
  <c r="G18"/>
  <c r="I17"/>
  <c r="G17"/>
  <c r="I16"/>
  <c r="G16"/>
  <c r="I15"/>
  <c r="G15"/>
  <c r="G14"/>
  <c r="A41" i="52"/>
  <c r="C40"/>
  <c r="I35"/>
  <c r="G33"/>
  <c r="G34" s="1"/>
  <c r="G35" s="1"/>
  <c r="J35" s="1"/>
  <c r="I30"/>
  <c r="J30" s="1"/>
  <c r="G29"/>
  <c r="G28"/>
  <c r="G30" s="1"/>
  <c r="I22"/>
  <c r="G22"/>
  <c r="I21"/>
  <c r="G21"/>
  <c r="I20"/>
  <c r="G20"/>
  <c r="I19"/>
  <c r="G19"/>
  <c r="I18"/>
  <c r="G18"/>
  <c r="I17"/>
  <c r="G17"/>
  <c r="I16"/>
  <c r="G16"/>
  <c r="I15"/>
  <c r="G15"/>
  <c r="I14"/>
  <c r="G14"/>
  <c r="I12"/>
  <c r="G12"/>
  <c r="G10"/>
  <c r="G8"/>
  <c r="I7"/>
  <c r="I10" s="1"/>
  <c r="G7"/>
  <c r="G13" i="31"/>
  <c r="I13" i="51"/>
  <c r="G13"/>
  <c r="C40"/>
  <c r="A41" s="1"/>
  <c r="I35"/>
  <c r="G33"/>
  <c r="I30"/>
  <c r="G28"/>
  <c r="G22"/>
  <c r="G21"/>
  <c r="G20"/>
  <c r="G19"/>
  <c r="G18"/>
  <c r="G17"/>
  <c r="G16"/>
  <c r="G15"/>
  <c r="I14"/>
  <c r="G14"/>
  <c r="I12"/>
  <c r="G12"/>
  <c r="I7"/>
  <c r="I10" s="1"/>
  <c r="G7"/>
  <c r="G8" s="1"/>
  <c r="G10" s="1"/>
  <c r="I23" i="56" l="1"/>
  <c r="I25" s="1"/>
  <c r="G23"/>
  <c r="G25" s="1"/>
  <c r="G22" i="55"/>
  <c r="G24" s="1"/>
  <c r="G29"/>
  <c r="J29" s="1"/>
  <c r="G33"/>
  <c r="G34" s="1"/>
  <c r="J34" s="1"/>
  <c r="I25" i="54"/>
  <c r="G23"/>
  <c r="G25" s="1"/>
  <c r="J35"/>
  <c r="G29"/>
  <c r="G30" s="1"/>
  <c r="J30" s="1"/>
  <c r="I25" i="53"/>
  <c r="G23"/>
  <c r="G25" s="1"/>
  <c r="G29"/>
  <c r="G30" s="1"/>
  <c r="J30" s="1"/>
  <c r="G34"/>
  <c r="G35" s="1"/>
  <c r="J35" s="1"/>
  <c r="I25" i="52"/>
  <c r="G23"/>
  <c r="G25" s="1"/>
  <c r="G23" i="51"/>
  <c r="G25" s="1"/>
  <c r="I25"/>
  <c r="G29"/>
  <c r="G30" s="1"/>
  <c r="J30" s="1"/>
  <c r="G34"/>
  <c r="G35" s="1"/>
  <c r="J35" s="1"/>
  <c r="I13" i="50"/>
  <c r="G13"/>
  <c r="C40"/>
  <c r="A41" s="1"/>
  <c r="I35"/>
  <c r="G33"/>
  <c r="I30"/>
  <c r="G28"/>
  <c r="G29" s="1"/>
  <c r="G30" s="1"/>
  <c r="I22"/>
  <c r="G22"/>
  <c r="I21"/>
  <c r="G21"/>
  <c r="I20"/>
  <c r="G20"/>
  <c r="I19"/>
  <c r="G19"/>
  <c r="I18"/>
  <c r="G18"/>
  <c r="I17"/>
  <c r="G17"/>
  <c r="I16"/>
  <c r="G16"/>
  <c r="I15"/>
  <c r="G15"/>
  <c r="I14"/>
  <c r="G14"/>
  <c r="I12"/>
  <c r="G12"/>
  <c r="I7"/>
  <c r="I10" s="1"/>
  <c r="G7"/>
  <c r="G8" s="1"/>
  <c r="G10" s="1"/>
  <c r="I12" i="49"/>
  <c r="G12"/>
  <c r="C40"/>
  <c r="A41" s="1"/>
  <c r="I35"/>
  <c r="G33"/>
  <c r="G34" s="1"/>
  <c r="G35" s="1"/>
  <c r="J35" s="1"/>
  <c r="I30"/>
  <c r="G29"/>
  <c r="G30" s="1"/>
  <c r="G28"/>
  <c r="I22"/>
  <c r="G22"/>
  <c r="I21"/>
  <c r="G21"/>
  <c r="I20"/>
  <c r="G20"/>
  <c r="I19"/>
  <c r="G19"/>
  <c r="I18"/>
  <c r="G18"/>
  <c r="I17"/>
  <c r="G17"/>
  <c r="I16"/>
  <c r="G16"/>
  <c r="I15"/>
  <c r="G15"/>
  <c r="I14"/>
  <c r="G14"/>
  <c r="I13"/>
  <c r="G13"/>
  <c r="I7"/>
  <c r="I10" s="1"/>
  <c r="G7"/>
  <c r="G8" s="1"/>
  <c r="G10" s="1"/>
  <c r="I13" i="44"/>
  <c r="I14"/>
  <c r="I15"/>
  <c r="I16"/>
  <c r="I17"/>
  <c r="I18"/>
  <c r="I19"/>
  <c r="I20"/>
  <c r="I21"/>
  <c r="I22"/>
  <c r="I12"/>
  <c r="I25" i="49" l="1"/>
  <c r="I25" i="50"/>
  <c r="J30"/>
  <c r="G23"/>
  <c r="G25" s="1"/>
  <c r="G34"/>
  <c r="G35" s="1"/>
  <c r="J35" s="1"/>
  <c r="G23" i="49"/>
  <c r="G25" s="1"/>
  <c r="J30"/>
  <c r="G13" i="46"/>
  <c r="I13" l="1"/>
  <c r="I12"/>
  <c r="I23" l="1"/>
  <c r="G13" i="28"/>
  <c r="I13" i="32" l="1"/>
  <c r="I12"/>
  <c r="I12" i="34" l="1"/>
  <c r="I12" i="31" l="1"/>
  <c r="I12" i="45"/>
  <c r="I13" i="37" l="1"/>
  <c r="I12"/>
  <c r="G12"/>
  <c r="I21" i="35" l="1"/>
  <c r="I19"/>
  <c r="I18"/>
  <c r="I17"/>
  <c r="I16"/>
  <c r="I15"/>
  <c r="I14"/>
  <c r="I13"/>
  <c r="I12"/>
  <c r="I14" i="36" l="1"/>
  <c r="I15"/>
  <c r="I16"/>
  <c r="I17"/>
  <c r="I18"/>
  <c r="I19"/>
  <c r="I20"/>
  <c r="I21"/>
  <c r="I13"/>
  <c r="I12"/>
  <c r="I14" i="30" l="1"/>
  <c r="I15"/>
  <c r="I16"/>
  <c r="I17"/>
  <c r="I18"/>
  <c r="I19"/>
  <c r="I20"/>
  <c r="I21"/>
  <c r="I13"/>
  <c r="I12"/>
  <c r="I14" i="28"/>
  <c r="I15"/>
  <c r="I16"/>
  <c r="I17"/>
  <c r="I18"/>
  <c r="I19"/>
  <c r="I12"/>
  <c r="I24" i="30" l="1"/>
  <c r="I13" i="33"/>
  <c r="I14"/>
  <c r="I15"/>
  <c r="I16"/>
  <c r="I17"/>
  <c r="I18"/>
  <c r="I19"/>
  <c r="I20"/>
  <c r="I21"/>
  <c r="I12"/>
  <c r="I13" i="34" l="1"/>
  <c r="I14"/>
  <c r="I15"/>
  <c r="I16"/>
  <c r="I17"/>
  <c r="I18"/>
  <c r="I19"/>
  <c r="I20"/>
  <c r="I21"/>
  <c r="I13" i="29" l="1"/>
  <c r="I14"/>
  <c r="I15"/>
  <c r="I16"/>
  <c r="I17"/>
  <c r="I18"/>
  <c r="I19"/>
  <c r="I20"/>
  <c r="I21"/>
  <c r="I12"/>
  <c r="I22" l="1"/>
  <c r="I24" s="1"/>
  <c r="C38" i="46"/>
  <c r="A39" s="1"/>
  <c r="I33"/>
  <c r="G31"/>
  <c r="G32" s="1"/>
  <c r="G33" s="1"/>
  <c r="I28"/>
  <c r="G26"/>
  <c r="G27" s="1"/>
  <c r="G28" s="1"/>
  <c r="G12"/>
  <c r="I7"/>
  <c r="I10" s="1"/>
  <c r="G7"/>
  <c r="G10" s="1"/>
  <c r="J33" l="1"/>
  <c r="J28"/>
  <c r="G21"/>
  <c r="G23" s="1"/>
  <c r="C39" i="45"/>
  <c r="A40" s="1"/>
  <c r="I34"/>
  <c r="G32"/>
  <c r="I29"/>
  <c r="G27"/>
  <c r="G28" s="1"/>
  <c r="G29" s="1"/>
  <c r="J29" s="1"/>
  <c r="I24"/>
  <c r="G21"/>
  <c r="G20"/>
  <c r="G19"/>
  <c r="G18"/>
  <c r="G17"/>
  <c r="G16"/>
  <c r="G15"/>
  <c r="G14"/>
  <c r="G13"/>
  <c r="G12"/>
  <c r="I7"/>
  <c r="I10" s="1"/>
  <c r="G7"/>
  <c r="G8" s="1"/>
  <c r="G10" s="1"/>
  <c r="G22" l="1"/>
  <c r="G24" s="1"/>
  <c r="G33"/>
  <c r="G34" s="1"/>
  <c r="J34" s="1"/>
  <c r="C40" i="44"/>
  <c r="A41" s="1"/>
  <c r="I35"/>
  <c r="G33"/>
  <c r="I30"/>
  <c r="G28"/>
  <c r="I25"/>
  <c r="G22"/>
  <c r="G21"/>
  <c r="G20"/>
  <c r="G19"/>
  <c r="G18"/>
  <c r="G17"/>
  <c r="G16"/>
  <c r="G15"/>
  <c r="G14"/>
  <c r="G13"/>
  <c r="G12"/>
  <c r="I7"/>
  <c r="I10" s="1"/>
  <c r="G7"/>
  <c r="G8" s="1"/>
  <c r="G10" s="1"/>
  <c r="C40" i="43"/>
  <c r="A41" s="1"/>
  <c r="I35"/>
  <c r="G33"/>
  <c r="I30"/>
  <c r="G28"/>
  <c r="I25"/>
  <c r="G22"/>
  <c r="G21"/>
  <c r="G20"/>
  <c r="G19"/>
  <c r="G18"/>
  <c r="G17"/>
  <c r="G16"/>
  <c r="G15"/>
  <c r="G14"/>
  <c r="G13"/>
  <c r="G12"/>
  <c r="I7"/>
  <c r="I10" s="1"/>
  <c r="G7"/>
  <c r="G8" s="1"/>
  <c r="G10" s="1"/>
  <c r="G23" l="1"/>
  <c r="G25" s="1"/>
  <c r="G23" i="44"/>
  <c r="G25" s="1"/>
  <c r="G29"/>
  <c r="G30" s="1"/>
  <c r="J30" s="1"/>
  <c r="G34"/>
  <c r="G35" s="1"/>
  <c r="J35" s="1"/>
  <c r="G29" i="43"/>
  <c r="G30" s="1"/>
  <c r="J30" s="1"/>
  <c r="G34"/>
  <c r="G35" s="1"/>
  <c r="J35" s="1"/>
  <c r="C41" i="38" l="1"/>
  <c r="A42" s="1"/>
  <c r="I36"/>
  <c r="G34"/>
  <c r="G35" s="1"/>
  <c r="G36" s="1"/>
  <c r="I31"/>
  <c r="G29"/>
  <c r="G30" s="1"/>
  <c r="G31" s="1"/>
  <c r="I26"/>
  <c r="G23"/>
  <c r="G22"/>
  <c r="G21"/>
  <c r="G20"/>
  <c r="G19"/>
  <c r="G18"/>
  <c r="G17"/>
  <c r="G16"/>
  <c r="G15"/>
  <c r="G14"/>
  <c r="G13"/>
  <c r="G12"/>
  <c r="I7"/>
  <c r="I10" s="1"/>
  <c r="G7"/>
  <c r="G8" s="1"/>
  <c r="G10" s="1"/>
  <c r="C39" i="37"/>
  <c r="A40" s="1"/>
  <c r="I34"/>
  <c r="G32"/>
  <c r="G33" s="1"/>
  <c r="I29"/>
  <c r="G27"/>
  <c r="I24"/>
  <c r="G21"/>
  <c r="G20"/>
  <c r="G19"/>
  <c r="G18"/>
  <c r="G17"/>
  <c r="G16"/>
  <c r="G15"/>
  <c r="G14"/>
  <c r="G13"/>
  <c r="I7"/>
  <c r="I10" s="1"/>
  <c r="G7"/>
  <c r="G8" s="1"/>
  <c r="G10" s="1"/>
  <c r="C39" i="36"/>
  <c r="A40" s="1"/>
  <c r="I34"/>
  <c r="G32"/>
  <c r="G33" s="1"/>
  <c r="I29"/>
  <c r="G27"/>
  <c r="G28" s="1"/>
  <c r="G29" s="1"/>
  <c r="I24"/>
  <c r="G21"/>
  <c r="G20"/>
  <c r="G19"/>
  <c r="G18"/>
  <c r="G17"/>
  <c r="G16"/>
  <c r="G15"/>
  <c r="G14"/>
  <c r="G13"/>
  <c r="G12"/>
  <c r="I7"/>
  <c r="I10" s="1"/>
  <c r="G7"/>
  <c r="G8" s="1"/>
  <c r="G10" s="1"/>
  <c r="C39" i="35"/>
  <c r="A40" s="1"/>
  <c r="I34"/>
  <c r="G32"/>
  <c r="G33" s="1"/>
  <c r="I29"/>
  <c r="G27"/>
  <c r="G28" s="1"/>
  <c r="G29" s="1"/>
  <c r="I24"/>
  <c r="G21"/>
  <c r="G19"/>
  <c r="G18"/>
  <c r="G17"/>
  <c r="G16"/>
  <c r="G15"/>
  <c r="G14"/>
  <c r="G13"/>
  <c r="G12"/>
  <c r="I7"/>
  <c r="I10" s="1"/>
  <c r="G7"/>
  <c r="G8" s="1"/>
  <c r="G10" s="1"/>
  <c r="C39" i="32"/>
  <c r="A40" s="1"/>
  <c r="I34"/>
  <c r="G32"/>
  <c r="I29"/>
  <c r="G27"/>
  <c r="I24"/>
  <c r="G21"/>
  <c r="G20"/>
  <c r="G19"/>
  <c r="G18"/>
  <c r="G17"/>
  <c r="G16"/>
  <c r="G15"/>
  <c r="G14"/>
  <c r="G13"/>
  <c r="G12"/>
  <c r="I7"/>
  <c r="I10" s="1"/>
  <c r="G7"/>
  <c r="G8" s="1"/>
  <c r="G10" s="1"/>
  <c r="C39" i="33"/>
  <c r="A40" s="1"/>
  <c r="I34"/>
  <c r="G32"/>
  <c r="G33" s="1"/>
  <c r="I29"/>
  <c r="G27"/>
  <c r="G28" s="1"/>
  <c r="G29" s="1"/>
  <c r="I24"/>
  <c r="G21"/>
  <c r="G20"/>
  <c r="G19"/>
  <c r="G18"/>
  <c r="G17"/>
  <c r="G16"/>
  <c r="G15"/>
  <c r="G14"/>
  <c r="G13"/>
  <c r="G12"/>
  <c r="I7"/>
  <c r="I10" s="1"/>
  <c r="G7"/>
  <c r="G8" s="1"/>
  <c r="G10" s="1"/>
  <c r="C39" i="34"/>
  <c r="A40" s="1"/>
  <c r="I34"/>
  <c r="G32"/>
  <c r="I29"/>
  <c r="G27"/>
  <c r="I24"/>
  <c r="G21"/>
  <c r="G20"/>
  <c r="G19"/>
  <c r="G18"/>
  <c r="G17"/>
  <c r="G16"/>
  <c r="G15"/>
  <c r="G14"/>
  <c r="G13"/>
  <c r="G12"/>
  <c r="I7"/>
  <c r="I10" s="1"/>
  <c r="G7"/>
  <c r="G8" s="1"/>
  <c r="G10" s="1"/>
  <c r="G19" i="31"/>
  <c r="C39"/>
  <c r="A40" s="1"/>
  <c r="I34"/>
  <c r="G32"/>
  <c r="G33" s="1"/>
  <c r="G34" s="1"/>
  <c r="I29"/>
  <c r="G27"/>
  <c r="I24"/>
  <c r="G21"/>
  <c r="G20"/>
  <c r="G18"/>
  <c r="G17"/>
  <c r="G16"/>
  <c r="G15"/>
  <c r="G14"/>
  <c r="G12"/>
  <c r="I7"/>
  <c r="I10" s="1"/>
  <c r="G7"/>
  <c r="G8" s="1"/>
  <c r="G10" s="1"/>
  <c r="G22" i="37" l="1"/>
  <c r="G24" s="1"/>
  <c r="J29" i="36"/>
  <c r="G22" i="31"/>
  <c r="G24" s="1"/>
  <c r="J29" i="33"/>
  <c r="G34" i="36"/>
  <c r="J34" s="1"/>
  <c r="G22"/>
  <c r="G24" s="1"/>
  <c r="G34" i="33"/>
  <c r="J34" s="1"/>
  <c r="G22" i="32"/>
  <c r="G24" s="1"/>
  <c r="G34" i="35"/>
  <c r="J34" s="1"/>
  <c r="G34" i="37"/>
  <c r="J34" s="1"/>
  <c r="J36" i="38"/>
  <c r="G22" i="34"/>
  <c r="G24" s="1"/>
  <c r="G24" i="38"/>
  <c r="G26" s="1"/>
  <c r="J31"/>
  <c r="G28" i="37"/>
  <c r="G29" s="1"/>
  <c r="J29" s="1"/>
  <c r="G22" i="35"/>
  <c r="G24" s="1"/>
  <c r="J29"/>
  <c r="G28" i="32"/>
  <c r="G29" s="1"/>
  <c r="J29" s="1"/>
  <c r="G33"/>
  <c r="G34" s="1"/>
  <c r="J34" s="1"/>
  <c r="G22" i="33"/>
  <c r="G24" s="1"/>
  <c r="G28" i="34"/>
  <c r="G29" s="1"/>
  <c r="J29" s="1"/>
  <c r="G33"/>
  <c r="G34" s="1"/>
  <c r="J34" s="1"/>
  <c r="J34" i="31"/>
  <c r="G28"/>
  <c r="G29" s="1"/>
  <c r="J29" s="1"/>
  <c r="C39" i="30"/>
  <c r="A40" s="1"/>
  <c r="I34"/>
  <c r="G32"/>
  <c r="G33" s="1"/>
  <c r="I29"/>
  <c r="G27"/>
  <c r="G28" s="1"/>
  <c r="G29" s="1"/>
  <c r="G21"/>
  <c r="G20"/>
  <c r="G19"/>
  <c r="G18"/>
  <c r="G17"/>
  <c r="G16"/>
  <c r="G15"/>
  <c r="G14"/>
  <c r="G13"/>
  <c r="G12"/>
  <c r="I7"/>
  <c r="I10" s="1"/>
  <c r="G7"/>
  <c r="G8" s="1"/>
  <c r="G10" s="1"/>
  <c r="G21" i="29"/>
  <c r="G20"/>
  <c r="G19"/>
  <c r="G17"/>
  <c r="C39"/>
  <c r="A40" s="1"/>
  <c r="I34"/>
  <c r="G32"/>
  <c r="G33" s="1"/>
  <c r="G34" s="1"/>
  <c r="I29"/>
  <c r="G27"/>
  <c r="G28" s="1"/>
  <c r="G29" s="1"/>
  <c r="G18"/>
  <c r="G16"/>
  <c r="G15"/>
  <c r="G14"/>
  <c r="G13"/>
  <c r="G12"/>
  <c r="I7"/>
  <c r="I10" s="1"/>
  <c r="G7"/>
  <c r="G8" s="1"/>
  <c r="G10" s="1"/>
  <c r="C37" i="28"/>
  <c r="G16"/>
  <c r="G19"/>
  <c r="G15"/>
  <c r="G14"/>
  <c r="G12"/>
  <c r="G18"/>
  <c r="G17"/>
  <c r="I7"/>
  <c r="I10" s="1"/>
  <c r="G7"/>
  <c r="G8" s="1"/>
  <c r="G10" s="1"/>
  <c r="G22" i="29" l="1"/>
  <c r="G24" s="1"/>
  <c r="J29" i="30"/>
  <c r="G22"/>
  <c r="G24" s="1"/>
  <c r="G34"/>
  <c r="J34" s="1"/>
  <c r="J34" i="29"/>
  <c r="J29"/>
  <c r="G20" i="28"/>
  <c r="G22" s="1"/>
  <c r="G25"/>
  <c r="G26" s="1"/>
  <c r="G27" s="1"/>
  <c r="G30"/>
  <c r="G31" s="1"/>
  <c r="G32" s="1"/>
  <c r="I27"/>
  <c r="I32"/>
  <c r="J32" l="1"/>
  <c r="J27"/>
  <c r="A38" l="1"/>
  <c r="I22" l="1"/>
</calcChain>
</file>

<file path=xl/sharedStrings.xml><?xml version="1.0" encoding="utf-8"?>
<sst xmlns="http://schemas.openxmlformats.org/spreadsheetml/2006/main" count="1853" uniqueCount="172">
  <si>
    <t>รายละเอียดประมาณการติดตั้งและวางท่อประปา</t>
  </si>
  <si>
    <t>รายการ</t>
  </si>
  <si>
    <t>ขนาด</t>
  </si>
  <si>
    <t>จำนวน</t>
  </si>
  <si>
    <t>หน่วยนับ</t>
  </si>
  <si>
    <t>รวมเงิน</t>
  </si>
  <si>
    <t>1/2"</t>
  </si>
  <si>
    <t>เครื่อง</t>
  </si>
  <si>
    <t>-</t>
  </si>
  <si>
    <t>ท่อ PB</t>
  </si>
  <si>
    <t>เมตร</t>
  </si>
  <si>
    <t xml:space="preserve">แคล้มป์รัดท่อแยก PB </t>
  </si>
  <si>
    <t>50x20</t>
  </si>
  <si>
    <t>ชุด</t>
  </si>
  <si>
    <t>งอหน้ามาตรชนิดติดตั้งบอลวาล์ว</t>
  </si>
  <si>
    <t>ตัว</t>
  </si>
  <si>
    <t xml:space="preserve">ข้องอ PB </t>
  </si>
  <si>
    <t>เทปพันเกลียว</t>
  </si>
  <si>
    <t>ม้วน</t>
  </si>
  <si>
    <t>ประตูน้ำกันกลับ ชนิดสปริง</t>
  </si>
  <si>
    <t>20x1/2"</t>
  </si>
  <si>
    <t>รวมข้อ 1</t>
  </si>
  <si>
    <t>40x3/4"</t>
  </si>
  <si>
    <t>ข้อต่อเกลียวนอก PB</t>
  </si>
  <si>
    <t>20x3/4"</t>
  </si>
  <si>
    <t>100x3/4"</t>
  </si>
  <si>
    <t>นิปเปิ้ล</t>
  </si>
  <si>
    <t>ประตูน้ำ</t>
  </si>
  <si>
    <t>3/4"</t>
  </si>
  <si>
    <t>110x3/4"</t>
  </si>
  <si>
    <t>150x3/4"</t>
  </si>
  <si>
    <t>200x3/4"</t>
  </si>
  <si>
    <t xml:space="preserve">เหล็กรัดท่อแยก PVC </t>
  </si>
  <si>
    <t xml:space="preserve">เหล็กรัดท่อแยก PE </t>
  </si>
  <si>
    <t xml:space="preserve">การประปาส่วนภูมิภาคสาขาพระนครศรีอยุธยา (ชั้นพิเศษ)  </t>
  </si>
  <si>
    <t>ข้องอเกลียวนอก PB</t>
  </si>
  <si>
    <t>ลวดทองแดง+ตะกั่ว ตีตรามาตร</t>
  </si>
  <si>
    <t>ตรม.</t>
  </si>
  <si>
    <t>ซ่อมคอนกรีตทางเท้า</t>
  </si>
  <si>
    <t>315x3/4"</t>
  </si>
  <si>
    <t>160x3/4"</t>
  </si>
  <si>
    <t>300x3/4"</t>
  </si>
  <si>
    <t>225x3/4"</t>
  </si>
  <si>
    <t>ลำดับที่</t>
  </si>
  <si>
    <t>ค่าวัสดุอุปกรณ์</t>
  </si>
  <si>
    <t>ค่าแรง</t>
  </si>
  <si>
    <t>ต่อหน่วย</t>
  </si>
  <si>
    <t>เป็นเงิน</t>
  </si>
  <si>
    <t>1.ส่วนติดตั้งมาตรวัดน้ำ</t>
  </si>
  <si>
    <t>มาตรวัดน้ำ</t>
  </si>
  <si>
    <t>รวม</t>
  </si>
  <si>
    <t>เผื่อขาด 10 % (เฉพาะค่าวัสดุ)</t>
  </si>
  <si>
    <t>2.ส่วนค่าติดตั้งเหมาจ่าย</t>
  </si>
  <si>
    <t>ไม่มี</t>
  </si>
  <si>
    <t>รวมข้อ 2</t>
  </si>
  <si>
    <t>3.ส่วนวางท่อภายใน</t>
  </si>
  <si>
    <t>รวมข้อ 3</t>
  </si>
  <si>
    <t>4.ส่วนวางท่อภายนอก</t>
  </si>
  <si>
    <t>รวมข้อ 4</t>
  </si>
  <si>
    <t>6.ค่าสำรวจ 2 % ของ(ข้อ 1+2+3+4)</t>
  </si>
  <si>
    <t>7.ค่าธรรมเนียมประสานท่อ</t>
  </si>
  <si>
    <t>จุด</t>
  </si>
  <si>
    <t>8.เงินประกันการใช้มาตรวัดน้ำ</t>
  </si>
  <si>
    <t>ค่าใช้จ่ายทั้งหมด รวมเงิน(ข้อ 5+6+7+8)</t>
  </si>
  <si>
    <t>ลงชื่อ.......................................................... ช่างสำรวจ/ประมาณการ</t>
  </si>
  <si>
    <t>5.ค่าดำเนินการผลรวมของ(ข้อ 1+2+3+4)ในส่วนเหมาจ่าย 10 เมตร</t>
  </si>
  <si>
    <t>ผู้ใช้น้ำเลขที่..............................................</t>
  </si>
  <si>
    <t>ชื่อ นางสาว ภาฤดี  บุญทรัพย์     บ้านเลขที่.  100/810   หมู่ที่. 7   ต.บ้านสร้าง  อ.บางปะอิน  จ.พระนครศรีอยุธยา</t>
  </si>
  <si>
    <t>400x3/4"</t>
  </si>
  <si>
    <t xml:space="preserve">ประมาณการเลขที่  WN1160/610000.......................................................       </t>
  </si>
  <si>
    <t>ท่อ G/S</t>
  </si>
  <si>
    <t>1 1/2"</t>
  </si>
  <si>
    <t>ชื่อ น.ส.เสาวลักษณ์ ศิรินคร     บ้านเลขที่.  668/1   หมู่ที่. 5   ต.พยอม  อ.วังน้อย  จ.พระนครศรีอยุธยา</t>
  </si>
  <si>
    <t>8.เงินประกันการใช้มาตรวัดน้ำ (ส่วนราชการ)</t>
  </si>
  <si>
    <t xml:space="preserve">ประมาณการเลขที่  WN1160/62000.......................................................       </t>
  </si>
  <si>
    <t>ม.6  ต.เชียงรากน้อย  อ.บางปะอิน  จ.พระนครศรีอยุธยา</t>
  </si>
  <si>
    <t>ม.11  ต.คลองหนึ่ง  อ.คลองหลวง  จ.ปทุมธานี</t>
  </si>
  <si>
    <t>ซ่อมถนน คสล.</t>
  </si>
  <si>
    <t>ชื่อ น.ส.สมคิด ฝังแก้ว     บ้านเลขที่ 28/2   หมู่ที่ 3   ต.ลำตาเสา  อ.วังน้อย  จ.พระนครศรีอยุธยา</t>
  </si>
  <si>
    <t xml:space="preserve">                ( นายพชร  ชัยวงศ์ )</t>
  </si>
  <si>
    <t>ซ่อมทางเท้าคอนกรีต</t>
  </si>
  <si>
    <t xml:space="preserve">ประมาณการเลขที่  WN1160/64000.......................................................       </t>
  </si>
  <si>
    <t>ชื่อ  น.ส.พิริยา  เกศเกื้อวิริยะนนท์  บ้านเลขที่ 125/182  หมู่ที่ 4  ต. คุ้งลาน  อ. บางปะอิน  จ.พระนครศรีอยุธยา</t>
  </si>
  <si>
    <t>8.เงินประกันการใช้มาตรวัดน้ำ (ยกเลิกโดย กปภ.)</t>
  </si>
  <si>
    <t>0</t>
  </si>
  <si>
    <t>ลงชื่อ.................................................................ผู้ตรวจประมาณการ</t>
  </si>
  <si>
    <t xml:space="preserve"> </t>
  </si>
  <si>
    <t xml:space="preserve">ประมาณการเลขที่  WN1160/65000.......................................................       </t>
  </si>
  <si>
    <t>ท่อ GS (ปลอก)</t>
  </si>
  <si>
    <t xml:space="preserve">รัดแยกเหล็กหล่อสำหรับท่อ PE </t>
  </si>
  <si>
    <t>ชื่อ  น.ส.วนิดา  พ่อค้า  บ้านเลขที่ 135  ม.1  ซ.ใจทาน  ต.พยอม  อ.วังน้อย  จ.พระนครศรีอยุธยา</t>
  </si>
  <si>
    <t xml:space="preserve">พลาสติกรัดแยกสำหรับท่อ PE </t>
  </si>
  <si>
    <t xml:space="preserve">พลาสติกรัดแยกสำหรับท่อ PVC </t>
  </si>
  <si>
    <t xml:space="preserve">                  (นายเจริญ  งามละมัย)</t>
  </si>
  <si>
    <t>ผู้ใช้น้ำเลขที่..................................</t>
  </si>
  <si>
    <t xml:space="preserve">ประมาณการเลขที่  WN1160/66000...........................     </t>
  </si>
  <si>
    <t xml:space="preserve">พลาสติกรัดท่อแยก PVC </t>
  </si>
  <si>
    <t>ขาตั้งมาตรชนิดติดตั้งบอลวาล์ว</t>
  </si>
  <si>
    <t xml:space="preserve">รัดแยกพลาสติกสำหรับท่อ PE </t>
  </si>
  <si>
    <t xml:space="preserve">      วิศวกร 7 รักษาการในตำแหน่งหัวหน้างาน 8</t>
  </si>
  <si>
    <t xml:space="preserve">             งานบริการและควบคุมน้ำสูญเสีย 1</t>
  </si>
  <si>
    <t>ผู้ใช้น้ำเลขที่.....11600........................</t>
  </si>
  <si>
    <t>ผู้ใช้น้ำเลขที่....11600.........................</t>
  </si>
  <si>
    <t>ท่อปลอก GS</t>
  </si>
  <si>
    <t>ซ่อมถนนแอสฟัล์ท</t>
  </si>
  <si>
    <t>ชื่อ  นายสมโภชน์  อุโคต  บ้านเลขที่ 27  ม.9  ต.ลำตาเสา  อ.วังน้อย  จ.พระนครศรีอยุธยา</t>
  </si>
  <si>
    <t>ผู้ใช้น้ำเลขที่.................................................</t>
  </si>
  <si>
    <t>ผู้ใช้น้ำเลขที่...................................</t>
  </si>
  <si>
    <t>40x20"</t>
  </si>
  <si>
    <t xml:space="preserve">                   นายช่างโยธา 5</t>
  </si>
  <si>
    <t>หัวหน้างาน 8 งานบริการและควบคุมน้ำสูญเสีย 1</t>
  </si>
  <si>
    <t>ซ่อมแอสฟัล์ท</t>
  </si>
  <si>
    <t>ชื่อ  นายสันติสุข  สมประสงค์  บ้านเลขที่ 149/10  หมู่ที่ 17  ตำบลบางกระสั้น  อำเภอบางปะอิน  จังหวัดพระนครศรีอยุธยา</t>
  </si>
  <si>
    <t xml:space="preserve">ประมาณการเลขที่  WN1160/6600..............................     </t>
  </si>
  <si>
    <t xml:space="preserve">                   ( นายพชร  ชัยวงศ์ )</t>
  </si>
  <si>
    <t xml:space="preserve">                      นายช่างโยธา 5</t>
  </si>
  <si>
    <t>พลาสติกรัดแยกสำหรับท่อ HDPE</t>
  </si>
  <si>
    <t>ผู้ใช้น้ำเลขที่…................................</t>
  </si>
  <si>
    <t xml:space="preserve">ประมาณการเลขที่  WN1160/67000..............................     </t>
  </si>
  <si>
    <t xml:space="preserve">ประมาณการเลขที่  WN1160/67000.......................................................       </t>
  </si>
  <si>
    <t xml:space="preserve">   หน้างาน 8 งานบริการและควบคุมน้ำสูญเสีย 1</t>
  </si>
  <si>
    <t>ผู้ใช้น้ำเลขที่.....................................</t>
  </si>
  <si>
    <t>ผู้ใช้น้ำเลขที่…....................................</t>
  </si>
  <si>
    <t>ซ่อมคอนกรีต</t>
  </si>
  <si>
    <t>5.ค่าดำเนินการผลรวมของ(ข้อ 1+2+3+4)ในส่วนเหมาจ่าย 10 ม.</t>
  </si>
  <si>
    <t>ลงชื่อ..............................................................ผู้ตรวจประมาณการ</t>
  </si>
  <si>
    <t xml:space="preserve">   หัวหน้างาน 8 งานบริการและควบคุมน้ำสูญเสีย 1</t>
  </si>
  <si>
    <t>ชื่อ  นายวิโรจน์  สง่าวงษ์  บ้านเลขที่ 31  หมู่ที่ 7  ตำบลลำตาเสา  อำเภอวังน้อย  จังหวัดพระนครศรีอยุธยา</t>
  </si>
  <si>
    <t>ลงชื่อ...............................................................ผู้ตรวจประมาณการ</t>
  </si>
  <si>
    <t xml:space="preserve">                  (นายวิทวัส  อารยวงศ์วาฬ)</t>
  </si>
  <si>
    <r>
      <t>1</t>
    </r>
    <r>
      <rPr>
        <sz val="16"/>
        <color theme="1"/>
        <rFont val="TH SarabunPSK"/>
        <family val="2"/>
      </rPr>
      <t>½</t>
    </r>
    <r>
      <rPr>
        <sz val="16"/>
        <color theme="1"/>
        <rFont val="TH Sarabun New"/>
        <family val="2"/>
      </rPr>
      <t>"</t>
    </r>
  </si>
  <si>
    <t>1</t>
  </si>
  <si>
    <t xml:space="preserve">        นายช่างโยธา 7 รักษาการแทนหัวหน้างาน 8</t>
  </si>
  <si>
    <t>ชื่อ  นางวาสนา  พิพัฒน์ผล  บ้านเลขที่ 88/21  หมู่ที่ 8  ตำบลเชียงรากน้อย  อำเภอบางปะอิน  จังหวัดพระนครศรีอยุธยา</t>
  </si>
  <si>
    <t>ชื่อ  นายไพฑูรย์  พนัสนาชี  บ้านเลขที่ 798  หมู่ที่ 7  ตำบลลำเชียงรากน้อย  อำเภอบางปะอิน  จังหวัดพระนครศรีอยุธยา</t>
  </si>
  <si>
    <t xml:space="preserve">รัดแยกเหล็กหล่อสำหรับท่อ AC </t>
  </si>
  <si>
    <t>ชื่อ  น.ส.สมจินตนา  สุขสมกิจ  บ้านเลขที่ 72/12  ม.2  ต.คลองจิก  อ.บางปะอิน  จ.พระนครศรีอยุธยา</t>
  </si>
  <si>
    <t>0.25</t>
  </si>
  <si>
    <t>ชื่อ  น.ส.อลิสา  ภูจำเนียน  บ้านเลขที่ ชั่วคราว  หมู่ที่ 4  ตำบลคุ้งลาน  อำเภอบางปะอิน  จังหวัดพระนครศรีอยุธยา</t>
  </si>
  <si>
    <t>ซ่อมพื้นทางเท้าคอนกรีต</t>
  </si>
  <si>
    <t>ตร.ม.</t>
  </si>
  <si>
    <t>ชื่อ  น.ส.ธนาวดี  ตรีพืชท์  บ้านเลขที่  1/9  ม.4  ต.คานหาม  อ.อุทัย  จ.พระนครศรีอยุธยา</t>
  </si>
  <si>
    <t xml:space="preserve">ประมาณการเลขที่  WN1160/68000.......................................................       </t>
  </si>
  <si>
    <t xml:space="preserve">ประมาณการเลขที่  WN1160/68000..............................     </t>
  </si>
  <si>
    <t xml:space="preserve">ประมาณการเลขที่  WN1160/68000...........................      </t>
  </si>
  <si>
    <t xml:space="preserve">ประมาณการเลขที่  WN1160/68000…........................       </t>
  </si>
  <si>
    <t xml:space="preserve"> หัวหน้างาน 8 งานบริการและควบคุมน้ำสูญเสีย 1</t>
  </si>
  <si>
    <t xml:space="preserve">                (นายศุภสิทธิ์  ภู่สุดแสวง)</t>
  </si>
  <si>
    <t xml:space="preserve">  หัวหน้างาน 8 งานบริการและควบคุมน้ำสูญเสีย 1</t>
  </si>
  <si>
    <t>ชื่อ     นางจิตใส  อยู่สุขี     บ้านเลขที่ 40/34  หมู่ที่ 3  ตำบลคลองสวนพลู  อำเภอพระนครศรีอยุธยา  จังหวัดพระนครศรีอยุธยา</t>
  </si>
  <si>
    <t>ลงชื่อ......................................................... ช่างสำรวจ/ประมาณการ</t>
  </si>
  <si>
    <t xml:space="preserve">                   นายช่างโยธา 6</t>
  </si>
  <si>
    <t xml:space="preserve">                      นายช่างโยธา 6</t>
  </si>
  <si>
    <t xml:space="preserve">     ลงชื่อ..............................................................ผู้ตรวจประมาณการ</t>
  </si>
  <si>
    <t xml:space="preserve">                  (นายธัชกร  ภู่สุดแสวง)</t>
  </si>
  <si>
    <t xml:space="preserve">                (นายธัชกร  ภู่สุดแสวง)</t>
  </si>
  <si>
    <t>ชื่อ     นายสกุลชัย  ทองเรือง     บ้านเลขที่ 9/165  หมู่ที่ 4  ต.อุทัย  อ.อุทัย  จ.พระนครศรีอยุธยา</t>
  </si>
  <si>
    <t>ชื่อ  น.ส.อัญญารัตน์  ศรประพันธ์  บ้านเลขที่ 89/26  ม.4  ต.บ่อตาโล่  อ.วังน้อย  จ.พระนครศรีอยุธยา</t>
  </si>
  <si>
    <t>ซ่อมถนนคอนกรีต</t>
  </si>
  <si>
    <t>ชื่อ  น.ส.ลออ  คงสกุล  บ้านเลขที่ 58/4  ม.5  ต.ลำไทร  อ.วังน้อย  จ.พระนครศรีอยุธยา</t>
  </si>
  <si>
    <t xml:space="preserve">ประมาณการเลขที่  WN1160/6800................................     </t>
  </si>
  <si>
    <t>ชื่อ  นางสาวบ๊วย  ธรรมมงคล  บ้านเลขที่ 891/4  ม.5  ต.พยอม  อ.วังน้อย  จ.พระนครศรีอยุธยา</t>
  </si>
  <si>
    <t xml:space="preserve">ประมาณการเลขที่  WN1160/69000.......................................................       </t>
  </si>
  <si>
    <t xml:space="preserve">             (นายธัชกร  ภู่สุดแสวง)</t>
  </si>
  <si>
    <t>ชื่อ  น.ส.บุษรา  อิ่มสุขศรี  บ้านเลขที่ 88/2  หมู่ 4 หมู่บ้านมิรันด้าโฮมส์  ตำบลอุทัย  อำเภออุทัย  จังหวัดพระนครศรีอยุธยา</t>
  </si>
  <si>
    <t>ชื่อ  น.ส.วรัญญู  เผ่าพหล  บ้านเลขที่ 1/186  หมู่ 4  ตำบลคลองจิก  อำเภอบางปะอิน  จังหวัดพระนครศรีอยุธยา</t>
  </si>
  <si>
    <t>ประมาณการเลขที่  WN1160/690000..............................</t>
  </si>
  <si>
    <t xml:space="preserve">ประมาณการเลขที่  WN1160/690000.......................................................       </t>
  </si>
  <si>
    <t>ชื่อ  บจ.ไทย โอเบลิกซ์  บ้านเลขที่ ชั่วคราว  หมู่ 5  ตำบลตลิ่งชัน  อำเภอบางปะอิน  จังหวัดพระนครศรีอยุธยา</t>
  </si>
  <si>
    <t>ชื่อ นางพันทิพา  เผ่าวิบูล  บ้านเลขที่ 45/25  หมู่ที่ 3  ตำบลคลองสวนพลู  อำเภอพระนครศรีอยุธยา  จ.พระนครศรีอยุธยา</t>
  </si>
  <si>
    <t>ชื่อ     บจ.สยาม เรสซิเดนซ์    บ้านเลขที่ 70/76  หมู่ 7  ตำบลคลองสวนพลู  อำเภอพระนครศรีอยุธยา  จังหวัดพระนครศรีอยุธยา</t>
  </si>
  <si>
    <t xml:space="preserve">ประมาณการเลขที่  WN1160/690000...........................      </t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</si>
</sst>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43" formatCode="_-* #,##0.00_-;\-* #,##0.00_-;_-* &quot;-&quot;??_-;_-@_-"/>
    <numFmt numFmtId="187" formatCode="_-* #,##0_-;\-* #,##0_-;_-* \-??_-;_-@_-"/>
    <numFmt numFmtId="188" formatCode="_-* #,##0_-;\-* #,##0_-;_-* &quot;-&quot;??_-;_-@_-"/>
    <numFmt numFmtId="189" formatCode="_-* #,##0.00000_-;\-* #,##0.00000_-;_-* &quot;-&quot;??_-;_-@_-"/>
    <numFmt numFmtId="190" formatCode="_-* #,##0.00_-;\-* #,##0.00_-;_-* \-??_-;_-@_-"/>
  </numFmts>
  <fonts count="24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6"/>
      <name val="TH SarabunPSK"/>
      <family val="2"/>
    </font>
    <font>
      <sz val="16"/>
      <color indexed="8"/>
      <name val="TH SarabunPSK"/>
      <family val="2"/>
    </font>
    <font>
      <sz val="14"/>
      <name val="Cordia New"/>
      <family val="2"/>
    </font>
    <font>
      <b/>
      <sz val="16"/>
      <name val="TH SarabunPSK"/>
      <family val="2"/>
    </font>
    <font>
      <sz val="16"/>
      <color rgb="FFFF0000"/>
      <name val="TH SarabunPSK"/>
      <family val="2"/>
    </font>
    <font>
      <b/>
      <sz val="16"/>
      <color indexed="10"/>
      <name val="TH SarabunPSK"/>
      <family val="2"/>
    </font>
    <font>
      <b/>
      <sz val="16"/>
      <color indexed="8"/>
      <name val="TH SarabunPSK"/>
      <family val="2"/>
    </font>
    <font>
      <b/>
      <sz val="18"/>
      <color theme="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sz val="16"/>
      <color indexed="8"/>
      <name val="TH Sarabun New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6"/>
      <color indexed="10"/>
      <name val="TH Sarabun New"/>
      <family val="2"/>
    </font>
    <font>
      <b/>
      <sz val="16"/>
      <color indexed="8"/>
      <name val="TH Sarabun New"/>
      <family val="2"/>
    </font>
    <font>
      <sz val="16"/>
      <color rgb="FFFF0000"/>
      <name val="TH Sarabun New"/>
      <family val="2"/>
    </font>
    <font>
      <b/>
      <sz val="15"/>
      <name val="TH Sarabun New"/>
      <family val="2"/>
    </font>
    <font>
      <sz val="8"/>
      <name val="Tahoma"/>
      <family val="2"/>
      <scheme val="minor"/>
    </font>
    <font>
      <b/>
      <sz val="14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335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/>
    <xf numFmtId="0" fontId="5" fillId="2" borderId="21" xfId="0" applyFont="1" applyFill="1" applyBorder="1" applyAlignment="1">
      <alignment horizontal="center"/>
    </xf>
    <xf numFmtId="0" fontId="6" fillId="0" borderId="0" xfId="0" applyFont="1"/>
    <xf numFmtId="3" fontId="5" fillId="0" borderId="23" xfId="2" applyNumberFormat="1" applyFont="1" applyBorder="1" applyAlignment="1">
      <alignment horizontal="center"/>
    </xf>
    <xf numFmtId="0" fontId="5" fillId="0" borderId="23" xfId="2" applyFont="1" applyBorder="1" applyAlignment="1">
      <alignment horizontal="center"/>
    </xf>
    <xf numFmtId="187" fontId="5" fillId="0" borderId="23" xfId="3" applyNumberFormat="1" applyFont="1" applyBorder="1"/>
    <xf numFmtId="0" fontId="5" fillId="0" borderId="24" xfId="2" applyFont="1" applyBorder="1"/>
    <xf numFmtId="0" fontId="5" fillId="0" borderId="0" xfId="2" applyFont="1"/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187" fontId="5" fillId="0" borderId="26" xfId="1" applyNumberFormat="1" applyFont="1" applyBorder="1"/>
    <xf numFmtId="188" fontId="8" fillId="0" borderId="26" xfId="1" applyNumberFormat="1" applyFont="1" applyBorder="1"/>
    <xf numFmtId="0" fontId="8" fillId="0" borderId="26" xfId="0" applyFont="1" applyBorder="1"/>
    <xf numFmtId="0" fontId="8" fillId="0" borderId="27" xfId="0" applyFont="1" applyBorder="1"/>
    <xf numFmtId="0" fontId="5" fillId="0" borderId="0" xfId="0" applyFont="1"/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87" fontId="5" fillId="0" borderId="29" xfId="1" applyNumberFormat="1" applyFont="1" applyBorder="1"/>
    <xf numFmtId="187" fontId="8" fillId="0" borderId="29" xfId="1" applyNumberFormat="1" applyFont="1" applyBorder="1"/>
    <xf numFmtId="0" fontId="8" fillId="0" borderId="29" xfId="0" applyFont="1" applyBorder="1"/>
    <xf numFmtId="0" fontId="8" fillId="0" borderId="30" xfId="0" applyFont="1" applyBorder="1"/>
    <xf numFmtId="0" fontId="5" fillId="0" borderId="5" xfId="2" applyFont="1" applyBorder="1"/>
    <xf numFmtId="0" fontId="8" fillId="0" borderId="31" xfId="0" applyFont="1" applyBorder="1" applyAlignment="1">
      <alignment horizontal="center"/>
    </xf>
    <xf numFmtId="188" fontId="8" fillId="0" borderId="21" xfId="1" applyNumberFormat="1" applyFont="1" applyBorder="1"/>
    <xf numFmtId="0" fontId="8" fillId="0" borderId="21" xfId="0" applyFont="1" applyBorder="1"/>
    <xf numFmtId="188" fontId="8" fillId="0" borderId="35" xfId="1" applyNumberFormat="1" applyFont="1" applyBorder="1"/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left"/>
    </xf>
    <xf numFmtId="0" fontId="5" fillId="0" borderId="39" xfId="2" applyFont="1" applyBorder="1"/>
    <xf numFmtId="0" fontId="5" fillId="0" borderId="26" xfId="2" applyFont="1" applyBorder="1"/>
    <xf numFmtId="187" fontId="5" fillId="0" borderId="26" xfId="3" applyNumberFormat="1" applyFont="1" applyBorder="1"/>
    <xf numFmtId="0" fontId="5" fillId="0" borderId="27" xfId="2" applyFont="1" applyBorder="1"/>
    <xf numFmtId="187" fontId="8" fillId="0" borderId="26" xfId="1" applyNumberFormat="1" applyFont="1" applyBorder="1"/>
    <xf numFmtId="0" fontId="5" fillId="0" borderId="41" xfId="2" applyFont="1" applyBorder="1"/>
    <xf numFmtId="187" fontId="8" fillId="0" borderId="21" xfId="1" applyNumberFormat="1" applyFont="1" applyBorder="1"/>
    <xf numFmtId="187" fontId="8" fillId="0" borderId="35" xfId="1" applyNumberFormat="1" applyFont="1" applyBorder="1"/>
    <xf numFmtId="0" fontId="5" fillId="0" borderId="26" xfId="2" applyFont="1" applyBorder="1" applyAlignment="1">
      <alignment horizontal="center"/>
    </xf>
    <xf numFmtId="0" fontId="5" fillId="0" borderId="25" xfId="2" applyFont="1" applyBorder="1" applyAlignment="1">
      <alignment horizontal="center"/>
    </xf>
    <xf numFmtId="0" fontId="8" fillId="0" borderId="26" xfId="2" applyFont="1" applyBorder="1"/>
    <xf numFmtId="0" fontId="8" fillId="0" borderId="27" xfId="2" applyFont="1" applyBorder="1"/>
    <xf numFmtId="0" fontId="5" fillId="0" borderId="28" xfId="2" applyFont="1" applyBorder="1" applyAlignment="1">
      <alignment horizontal="center"/>
    </xf>
    <xf numFmtId="0" fontId="5" fillId="0" borderId="29" xfId="2" applyFont="1" applyBorder="1" applyAlignment="1">
      <alignment horizontal="center"/>
    </xf>
    <xf numFmtId="187" fontId="5" fillId="0" borderId="29" xfId="3" applyNumberFormat="1" applyFont="1" applyBorder="1"/>
    <xf numFmtId="188" fontId="8" fillId="0" borderId="29" xfId="3" applyNumberFormat="1" applyFont="1" applyBorder="1"/>
    <xf numFmtId="0" fontId="8" fillId="0" borderId="29" xfId="2" applyFont="1" applyBorder="1"/>
    <xf numFmtId="0" fontId="8" fillId="0" borderId="30" xfId="2" applyFont="1" applyBorder="1"/>
    <xf numFmtId="0" fontId="5" fillId="0" borderId="42" xfId="2" applyFont="1" applyBorder="1"/>
    <xf numFmtId="0" fontId="8" fillId="0" borderId="31" xfId="2" applyFont="1" applyBorder="1" applyAlignment="1">
      <alignment horizontal="center"/>
    </xf>
    <xf numFmtId="188" fontId="8" fillId="0" borderId="15" xfId="1" applyNumberFormat="1" applyFont="1" applyBorder="1"/>
    <xf numFmtId="0" fontId="8" fillId="0" borderId="15" xfId="2" applyFont="1" applyBorder="1"/>
    <xf numFmtId="187" fontId="8" fillId="0" borderId="15" xfId="3" applyNumberFormat="1" applyFont="1" applyBorder="1"/>
    <xf numFmtId="187" fontId="8" fillId="0" borderId="46" xfId="3" applyNumberFormat="1" applyFont="1" applyBorder="1"/>
    <xf numFmtId="188" fontId="8" fillId="0" borderId="7" xfId="0" applyNumberFormat="1" applyFont="1" applyBorder="1"/>
    <xf numFmtId="188" fontId="5" fillId="0" borderId="0" xfId="0" applyNumberFormat="1" applyFont="1"/>
    <xf numFmtId="0" fontId="9" fillId="0" borderId="0" xfId="0" applyFont="1"/>
    <xf numFmtId="3" fontId="5" fillId="0" borderId="0" xfId="0" applyNumberFormat="1" applyFont="1"/>
    <xf numFmtId="188" fontId="11" fillId="0" borderId="7" xfId="1" applyNumberFormat="1" applyFont="1" applyBorder="1"/>
    <xf numFmtId="0" fontId="8" fillId="0" borderId="0" xfId="0" applyFont="1"/>
    <xf numFmtId="0" fontId="5" fillId="0" borderId="49" xfId="2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3" fontId="5" fillId="4" borderId="7" xfId="0" applyNumberFormat="1" applyFont="1" applyFill="1" applyBorder="1" applyAlignment="1">
      <alignment horizontal="center"/>
    </xf>
    <xf numFmtId="0" fontId="5" fillId="0" borderId="7" xfId="2" applyFont="1" applyBorder="1" applyAlignment="1">
      <alignment horizontal="center"/>
    </xf>
    <xf numFmtId="188" fontId="8" fillId="0" borderId="0" xfId="0" applyNumberFormat="1" applyFont="1"/>
    <xf numFmtId="187" fontId="5" fillId="0" borderId="26" xfId="3" applyNumberFormat="1" applyFont="1" applyBorder="1" applyAlignment="1">
      <alignment horizontal="right"/>
    </xf>
    <xf numFmtId="0" fontId="5" fillId="0" borderId="56" xfId="2" applyFont="1" applyBorder="1" applyAlignment="1">
      <alignment horizontal="center"/>
    </xf>
    <xf numFmtId="3" fontId="5" fillId="0" borderId="7" xfId="2" applyNumberFormat="1" applyFont="1" applyBorder="1" applyAlignment="1">
      <alignment horizontal="center"/>
    </xf>
    <xf numFmtId="188" fontId="8" fillId="0" borderId="57" xfId="1" applyNumberFormat="1" applyFont="1" applyBorder="1"/>
    <xf numFmtId="188" fontId="8" fillId="0" borderId="58" xfId="1" applyNumberFormat="1" applyFont="1" applyBorder="1"/>
    <xf numFmtId="188" fontId="8" fillId="0" borderId="59" xfId="1" applyNumberFormat="1" applyFont="1" applyBorder="1"/>
    <xf numFmtId="0" fontId="8" fillId="0" borderId="23" xfId="0" applyFont="1" applyBorder="1"/>
    <xf numFmtId="188" fontId="8" fillId="0" borderId="56" xfId="1" applyNumberFormat="1" applyFont="1" applyBorder="1"/>
    <xf numFmtId="0" fontId="5" fillId="0" borderId="65" xfId="2" applyFont="1" applyBorder="1"/>
    <xf numFmtId="0" fontId="3" fillId="0" borderId="36" xfId="0" applyFont="1" applyBorder="1"/>
    <xf numFmtId="0" fontId="3" fillId="0" borderId="66" xfId="0" applyFont="1" applyBorder="1" applyAlignment="1">
      <alignment horizontal="center"/>
    </xf>
    <xf numFmtId="187" fontId="5" fillId="0" borderId="65" xfId="3" applyNumberFormat="1" applyFont="1" applyBorder="1"/>
    <xf numFmtId="188" fontId="8" fillId="0" borderId="67" xfId="1" applyNumberFormat="1" applyFont="1" applyBorder="1"/>
    <xf numFmtId="0" fontId="5" fillId="0" borderId="68" xfId="2" applyFont="1" applyBorder="1"/>
    <xf numFmtId="59" fontId="3" fillId="0" borderId="0" xfId="0" applyNumberFormat="1" applyFont="1" applyAlignment="1">
      <alignment horizontal="left"/>
    </xf>
    <xf numFmtId="188" fontId="5" fillId="0" borderId="15" xfId="1" applyNumberFormat="1" applyFont="1" applyBorder="1"/>
    <xf numFmtId="188" fontId="5" fillId="0" borderId="58" xfId="1" applyNumberFormat="1" applyFont="1" applyBorder="1"/>
    <xf numFmtId="188" fontId="5" fillId="0" borderId="59" xfId="1" applyNumberFormat="1" applyFont="1" applyBorder="1"/>
    <xf numFmtId="187" fontId="5" fillId="0" borderId="70" xfId="3" applyNumberFormat="1" applyFont="1" applyBorder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59" fontId="13" fillId="0" borderId="0" xfId="0" applyNumberFormat="1" applyFont="1" applyAlignment="1">
      <alignment horizontal="left"/>
    </xf>
    <xf numFmtId="0" fontId="15" fillId="3" borderId="0" xfId="0" applyFont="1" applyFill="1"/>
    <xf numFmtId="0" fontId="14" fillId="2" borderId="21" xfId="0" applyFont="1" applyFill="1" applyBorder="1" applyAlignment="1">
      <alignment horizontal="center"/>
    </xf>
    <xf numFmtId="0" fontId="15" fillId="0" borderId="0" xfId="0" applyFont="1"/>
    <xf numFmtId="0" fontId="13" fillId="0" borderId="2" xfId="0" applyFont="1" applyBorder="1" applyAlignment="1">
      <alignment horizontal="center"/>
    </xf>
    <xf numFmtId="0" fontId="13" fillId="0" borderId="10" xfId="0" applyFont="1" applyBorder="1"/>
    <xf numFmtId="3" fontId="14" fillId="0" borderId="23" xfId="2" applyNumberFormat="1" applyFont="1" applyBorder="1" applyAlignment="1">
      <alignment horizontal="center"/>
    </xf>
    <xf numFmtId="0" fontId="14" fillId="0" borderId="23" xfId="2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87" fontId="14" fillId="0" borderId="23" xfId="3" applyNumberFormat="1" applyFont="1" applyBorder="1"/>
    <xf numFmtId="0" fontId="14" fillId="0" borderId="24" xfId="2" applyFont="1" applyBorder="1"/>
    <xf numFmtId="0" fontId="14" fillId="0" borderId="0" xfId="2" applyFont="1"/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187" fontId="14" fillId="0" borderId="26" xfId="1" applyNumberFormat="1" applyFont="1" applyBorder="1"/>
    <xf numFmtId="188" fontId="17" fillId="0" borderId="26" xfId="1" applyNumberFormat="1" applyFont="1" applyBorder="1"/>
    <xf numFmtId="0" fontId="17" fillId="0" borderId="26" xfId="0" applyFont="1" applyBorder="1"/>
    <xf numFmtId="0" fontId="17" fillId="0" borderId="27" xfId="0" applyFont="1" applyBorder="1"/>
    <xf numFmtId="0" fontId="14" fillId="0" borderId="0" xfId="0" applyFont="1"/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187" fontId="14" fillId="0" borderId="29" xfId="1" applyNumberFormat="1" applyFont="1" applyBorder="1"/>
    <xf numFmtId="187" fontId="17" fillId="0" borderId="29" xfId="1" applyNumberFormat="1" applyFont="1" applyBorder="1"/>
    <xf numFmtId="0" fontId="17" fillId="0" borderId="29" xfId="0" applyFont="1" applyBorder="1"/>
    <xf numFmtId="0" fontId="17" fillId="0" borderId="30" xfId="0" applyFont="1" applyBorder="1"/>
    <xf numFmtId="0" fontId="14" fillId="0" borderId="5" xfId="2" applyFont="1" applyBorder="1"/>
    <xf numFmtId="0" fontId="17" fillId="0" borderId="31" xfId="0" applyFont="1" applyBorder="1" applyAlignment="1">
      <alignment horizontal="center"/>
    </xf>
    <xf numFmtId="188" fontId="17" fillId="0" borderId="21" xfId="1" applyNumberFormat="1" applyFont="1" applyBorder="1"/>
    <xf numFmtId="0" fontId="17" fillId="0" borderId="21" xfId="0" applyFont="1" applyBorder="1"/>
    <xf numFmtId="188" fontId="17" fillId="0" borderId="35" xfId="1" applyNumberFormat="1" applyFont="1" applyBorder="1"/>
    <xf numFmtId="0" fontId="14" fillId="0" borderId="26" xfId="2" applyFont="1" applyBorder="1"/>
    <xf numFmtId="0" fontId="13" fillId="0" borderId="12" xfId="0" applyFont="1" applyBorder="1"/>
    <xf numFmtId="0" fontId="13" fillId="0" borderId="13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187" fontId="14" fillId="0" borderId="26" xfId="3" applyNumberFormat="1" applyFont="1" applyBorder="1"/>
    <xf numFmtId="188" fontId="14" fillId="0" borderId="15" xfId="1" applyNumberFormat="1" applyFont="1" applyBorder="1"/>
    <xf numFmtId="0" fontId="14" fillId="0" borderId="27" xfId="2" applyFont="1" applyBorder="1"/>
    <xf numFmtId="188" fontId="17" fillId="0" borderId="58" xfId="1" applyNumberFormat="1" applyFont="1" applyBorder="1"/>
    <xf numFmtId="188" fontId="17" fillId="0" borderId="59" xfId="1" applyNumberFormat="1" applyFont="1" applyBorder="1"/>
    <xf numFmtId="187" fontId="14" fillId="0" borderId="26" xfId="3" applyNumberFormat="1" applyFont="1" applyBorder="1" applyAlignment="1">
      <alignment horizontal="right"/>
    </xf>
    <xf numFmtId="188" fontId="17" fillId="0" borderId="57" xfId="1" applyNumberFormat="1" applyFont="1" applyBorder="1"/>
    <xf numFmtId="0" fontId="13" fillId="0" borderId="36" xfId="0" applyFont="1" applyBorder="1" applyAlignment="1">
      <alignment horizontal="center"/>
    </xf>
    <xf numFmtId="0" fontId="13" fillId="0" borderId="37" xfId="0" applyFont="1" applyBorder="1" applyAlignment="1">
      <alignment horizontal="left"/>
    </xf>
    <xf numFmtId="0" fontId="14" fillId="0" borderId="39" xfId="2" applyFont="1" applyBorder="1"/>
    <xf numFmtId="187" fontId="17" fillId="0" borderId="26" xfId="1" applyNumberFormat="1" applyFont="1" applyBorder="1"/>
    <xf numFmtId="0" fontId="14" fillId="0" borderId="41" xfId="2" applyFont="1" applyBorder="1"/>
    <xf numFmtId="187" fontId="17" fillId="0" borderId="21" xfId="1" applyNumberFormat="1" applyFont="1" applyBorder="1"/>
    <xf numFmtId="187" fontId="17" fillId="0" borderId="35" xfId="1" applyNumberFormat="1" applyFont="1" applyBorder="1"/>
    <xf numFmtId="0" fontId="14" fillId="0" borderId="25" xfId="2" applyFont="1" applyBorder="1" applyAlignment="1">
      <alignment horizontal="center"/>
    </xf>
    <xf numFmtId="0" fontId="14" fillId="0" borderId="26" xfId="2" applyFont="1" applyBorder="1" applyAlignment="1">
      <alignment horizontal="center"/>
    </xf>
    <xf numFmtId="0" fontId="17" fillId="0" borderId="26" xfId="2" applyFont="1" applyBorder="1"/>
    <xf numFmtId="0" fontId="17" fillId="0" borderId="27" xfId="2" applyFont="1" applyBorder="1"/>
    <xf numFmtId="0" fontId="14" fillId="0" borderId="28" xfId="2" applyFont="1" applyBorder="1" applyAlignment="1">
      <alignment horizontal="center"/>
    </xf>
    <xf numFmtId="0" fontId="14" fillId="0" borderId="29" xfId="2" applyFont="1" applyBorder="1" applyAlignment="1">
      <alignment horizontal="center"/>
    </xf>
    <xf numFmtId="187" fontId="14" fillId="0" borderId="29" xfId="3" applyNumberFormat="1" applyFont="1" applyBorder="1"/>
    <xf numFmtId="188" fontId="17" fillId="0" borderId="29" xfId="3" applyNumberFormat="1" applyFont="1" applyBorder="1"/>
    <xf numFmtId="0" fontId="17" fillId="0" borderId="29" xfId="2" applyFont="1" applyBorder="1"/>
    <xf numFmtId="0" fontId="17" fillId="0" borderId="30" xfId="2" applyFont="1" applyBorder="1"/>
    <xf numFmtId="0" fontId="14" fillId="0" borderId="42" xfId="2" applyFont="1" applyBorder="1"/>
    <xf numFmtId="0" fontId="17" fillId="0" borderId="31" xfId="2" applyFont="1" applyBorder="1" applyAlignment="1">
      <alignment horizontal="center"/>
    </xf>
    <xf numFmtId="188" fontId="17" fillId="0" borderId="15" xfId="1" applyNumberFormat="1" applyFont="1" applyBorder="1"/>
    <xf numFmtId="0" fontId="17" fillId="0" borderId="15" xfId="2" applyFont="1" applyBorder="1"/>
    <xf numFmtId="187" fontId="17" fillId="0" borderId="15" xfId="3" applyNumberFormat="1" applyFont="1" applyBorder="1"/>
    <xf numFmtId="187" fontId="17" fillId="0" borderId="46" xfId="3" applyNumberFormat="1" applyFont="1" applyBorder="1"/>
    <xf numFmtId="188" fontId="17" fillId="0" borderId="7" xfId="0" applyNumberFormat="1" applyFont="1" applyBorder="1"/>
    <xf numFmtId="188" fontId="14" fillId="0" borderId="0" xfId="0" applyNumberFormat="1" applyFont="1"/>
    <xf numFmtId="188" fontId="19" fillId="0" borderId="7" xfId="1" applyNumberFormat="1" applyFont="1" applyBorder="1"/>
    <xf numFmtId="0" fontId="17" fillId="0" borderId="0" xfId="0" applyFont="1"/>
    <xf numFmtId="0" fontId="14" fillId="0" borderId="56" xfId="2" applyFont="1" applyBorder="1" applyAlignment="1">
      <alignment horizontal="center"/>
    </xf>
    <xf numFmtId="0" fontId="14" fillId="0" borderId="49" xfId="2" applyFont="1" applyBorder="1" applyAlignment="1">
      <alignment horizontal="center"/>
    </xf>
    <xf numFmtId="0" fontId="14" fillId="0" borderId="6" xfId="2" applyFont="1" applyBorder="1" applyAlignment="1">
      <alignment horizontal="center"/>
    </xf>
    <xf numFmtId="3" fontId="14" fillId="0" borderId="7" xfId="2" applyNumberFormat="1" applyFont="1" applyBorder="1" applyAlignment="1">
      <alignment horizontal="center"/>
    </xf>
    <xf numFmtId="3" fontId="14" fillId="4" borderId="7" xfId="0" applyNumberFormat="1" applyFont="1" applyFill="1" applyBorder="1" applyAlignment="1">
      <alignment horizontal="center"/>
    </xf>
    <xf numFmtId="0" fontId="14" fillId="0" borderId="7" xfId="2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0" fillId="0" borderId="0" xfId="0" applyFont="1"/>
    <xf numFmtId="3" fontId="14" fillId="0" borderId="0" xfId="0" applyNumberFormat="1" applyFont="1"/>
    <xf numFmtId="188" fontId="17" fillId="0" borderId="0" xfId="0" applyNumberFormat="1" applyFont="1"/>
    <xf numFmtId="0" fontId="14" fillId="0" borderId="65" xfId="2" applyFont="1" applyBorder="1"/>
    <xf numFmtId="0" fontId="13" fillId="0" borderId="36" xfId="0" applyFont="1" applyBorder="1"/>
    <xf numFmtId="0" fontId="13" fillId="0" borderId="66" xfId="0" applyFont="1" applyBorder="1" applyAlignment="1">
      <alignment horizontal="center"/>
    </xf>
    <xf numFmtId="187" fontId="14" fillId="0" borderId="65" xfId="3" applyNumberFormat="1" applyFont="1" applyBorder="1"/>
    <xf numFmtId="188" fontId="14" fillId="0" borderId="67" xfId="1" applyNumberFormat="1" applyFont="1" applyBorder="1"/>
    <xf numFmtId="187" fontId="14" fillId="0" borderId="69" xfId="3" applyNumberFormat="1" applyFont="1" applyBorder="1"/>
    <xf numFmtId="0" fontId="14" fillId="0" borderId="68" xfId="2" applyFont="1" applyBorder="1"/>
    <xf numFmtId="3" fontId="13" fillId="0" borderId="12" xfId="0" applyNumberFormat="1" applyFont="1" applyBorder="1" applyAlignment="1">
      <alignment horizontal="center"/>
    </xf>
    <xf numFmtId="188" fontId="14" fillId="0" borderId="58" xfId="1" applyNumberFormat="1" applyFont="1" applyBorder="1"/>
    <xf numFmtId="188" fontId="14" fillId="0" borderId="59" xfId="1" applyNumberFormat="1" applyFont="1" applyBorder="1"/>
    <xf numFmtId="0" fontId="17" fillId="0" borderId="23" xfId="0" applyFont="1" applyBorder="1"/>
    <xf numFmtId="0" fontId="17" fillId="3" borderId="0" xfId="0" applyFont="1" applyFill="1" applyAlignment="1">
      <alignment horizontal="center"/>
    </xf>
    <xf numFmtId="188" fontId="17" fillId="0" borderId="56" xfId="1" applyNumberFormat="1" applyFont="1" applyBorder="1"/>
    <xf numFmtId="187" fontId="14" fillId="0" borderId="70" xfId="3" applyNumberFormat="1" applyFont="1" applyBorder="1"/>
    <xf numFmtId="49" fontId="14" fillId="0" borderId="26" xfId="3" applyNumberFormat="1" applyFont="1" applyBorder="1" applyAlignment="1">
      <alignment horizontal="center"/>
    </xf>
    <xf numFmtId="190" fontId="14" fillId="0" borderId="26" xfId="3" applyNumberFormat="1" applyFont="1" applyBorder="1"/>
    <xf numFmtId="0" fontId="13" fillId="0" borderId="71" xfId="0" applyFont="1" applyBorder="1" applyAlignment="1">
      <alignment horizontal="center"/>
    </xf>
    <xf numFmtId="188" fontId="13" fillId="0" borderId="10" xfId="1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59" fontId="13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1" fontId="8" fillId="4" borderId="3" xfId="1" applyNumberFormat="1" applyFont="1" applyFill="1" applyBorder="1" applyAlignment="1">
      <alignment horizontal="center"/>
    </xf>
    <xf numFmtId="41" fontId="8" fillId="4" borderId="40" xfId="1" applyNumberFormat="1" applyFont="1" applyFill="1" applyBorder="1" applyAlignment="1">
      <alignment horizontal="center"/>
    </xf>
    <xf numFmtId="41" fontId="8" fillId="4" borderId="4" xfId="1" applyNumberFormat="1" applyFont="1" applyFill="1" applyBorder="1" applyAlignment="1">
      <alignment horizontal="center"/>
    </xf>
    <xf numFmtId="0" fontId="8" fillId="0" borderId="50" xfId="0" applyFont="1" applyBorder="1" applyAlignment="1">
      <alignment horizontal="left"/>
    </xf>
    <xf numFmtId="0" fontId="8" fillId="0" borderId="51" xfId="0" applyFont="1" applyBorder="1" applyAlignment="1">
      <alignment horizontal="left"/>
    </xf>
    <xf numFmtId="188" fontId="8" fillId="0" borderId="50" xfId="1" applyNumberFormat="1" applyFont="1" applyBorder="1" applyAlignment="1">
      <alignment horizontal="center"/>
    </xf>
    <xf numFmtId="188" fontId="8" fillId="0" borderId="52" xfId="1" applyNumberFormat="1" applyFont="1" applyBorder="1" applyAlignment="1">
      <alignment horizontal="center"/>
    </xf>
    <xf numFmtId="188" fontId="8" fillId="0" borderId="51" xfId="1" applyNumberFormat="1" applyFont="1" applyBorder="1" applyAlignment="1">
      <alignment horizontal="center"/>
    </xf>
    <xf numFmtId="0" fontId="8" fillId="3" borderId="53" xfId="0" applyFont="1" applyFill="1" applyBorder="1" applyAlignment="1">
      <alignment horizontal="center"/>
    </xf>
    <xf numFmtId="0" fontId="8" fillId="3" borderId="54" xfId="0" applyFont="1" applyFill="1" applyBorder="1" applyAlignment="1">
      <alignment horizontal="center"/>
    </xf>
    <xf numFmtId="0" fontId="8" fillId="3" borderId="5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2" fillId="0" borderId="60" xfId="0" applyFont="1" applyBorder="1" applyAlignment="1">
      <alignment horizontal="left"/>
    </xf>
    <xf numFmtId="0" fontId="3" fillId="0" borderId="61" xfId="0" applyFont="1" applyBorder="1" applyAlignment="1">
      <alignment horizontal="left"/>
    </xf>
    <xf numFmtId="187" fontId="5" fillId="0" borderId="3" xfId="3" applyNumberFormat="1" applyFont="1" applyBorder="1" applyAlignment="1">
      <alignment horizontal="center"/>
    </xf>
    <xf numFmtId="187" fontId="5" fillId="0" borderId="4" xfId="3" applyNumberFormat="1" applyFont="1" applyBorder="1" applyAlignment="1">
      <alignment horizontal="center"/>
    </xf>
    <xf numFmtId="43" fontId="8" fillId="4" borderId="3" xfId="1" applyFont="1" applyFill="1" applyBorder="1" applyAlignment="1">
      <alignment horizontal="right"/>
    </xf>
    <xf numFmtId="43" fontId="8" fillId="4" borderId="40" xfId="1" applyFont="1" applyFill="1" applyBorder="1" applyAlignment="1">
      <alignment horizontal="right"/>
    </xf>
    <xf numFmtId="43" fontId="8" fillId="4" borderId="4" xfId="1" applyFont="1" applyFill="1" applyBorder="1" applyAlignment="1">
      <alignment horizontal="right"/>
    </xf>
    <xf numFmtId="0" fontId="2" fillId="0" borderId="40" xfId="0" applyFont="1" applyBorder="1" applyAlignment="1">
      <alignment horizontal="left"/>
    </xf>
    <xf numFmtId="0" fontId="5" fillId="0" borderId="9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5" fillId="0" borderId="38" xfId="2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5" fillId="0" borderId="43" xfId="2" applyFont="1" applyBorder="1" applyAlignment="1">
      <alignment horizontal="center"/>
    </xf>
    <xf numFmtId="0" fontId="5" fillId="0" borderId="44" xfId="2" applyFont="1" applyBorder="1" applyAlignment="1">
      <alignment horizontal="center"/>
    </xf>
    <xf numFmtId="0" fontId="5" fillId="0" borderId="45" xfId="2" applyFont="1" applyBorder="1" applyAlignment="1">
      <alignment horizontal="center"/>
    </xf>
    <xf numFmtId="0" fontId="8" fillId="0" borderId="47" xfId="0" applyFont="1" applyBorder="1" applyAlignment="1">
      <alignment horizontal="left"/>
    </xf>
    <xf numFmtId="0" fontId="8" fillId="0" borderId="48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4" borderId="3" xfId="0" applyFont="1" applyFill="1" applyBorder="1"/>
    <xf numFmtId="0" fontId="8" fillId="4" borderId="4" xfId="0" applyFont="1" applyFill="1" applyBorder="1"/>
    <xf numFmtId="189" fontId="10" fillId="0" borderId="3" xfId="0" applyNumberFormat="1" applyFont="1" applyBorder="1" applyAlignment="1">
      <alignment horizontal="center" vertical="center"/>
    </xf>
    <xf numFmtId="189" fontId="10" fillId="0" borderId="40" xfId="0" applyNumberFormat="1" applyFont="1" applyBorder="1" applyAlignment="1">
      <alignment horizontal="center" vertical="center"/>
    </xf>
    <xf numFmtId="189" fontId="10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59" fontId="3" fillId="0" borderId="0" xfId="0" applyNumberFormat="1" applyFont="1" applyAlignment="1">
      <alignment horizontal="left"/>
    </xf>
    <xf numFmtId="0" fontId="3" fillId="0" borderId="14" xfId="0" applyFont="1" applyBorder="1" applyAlignment="1">
      <alignment horizontal="left"/>
    </xf>
    <xf numFmtId="0" fontId="5" fillId="2" borderId="15" xfId="0" applyFont="1" applyFill="1" applyBorder="1" applyAlignment="1">
      <alignment horizontal="center" vertical="center" shrinkToFit="1"/>
    </xf>
    <xf numFmtId="0" fontId="5" fillId="2" borderId="19" xfId="0" applyFont="1" applyFill="1" applyBorder="1" applyAlignment="1">
      <alignment horizontal="center" vertical="center" shrinkToFit="1"/>
    </xf>
    <xf numFmtId="0" fontId="5" fillId="2" borderId="20" xfId="0" applyFont="1" applyFill="1" applyBorder="1" applyAlignment="1">
      <alignment horizontal="center" vertical="center" shrinkToFit="1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41" fontId="17" fillId="4" borderId="3" xfId="1" applyNumberFormat="1" applyFont="1" applyFill="1" applyBorder="1" applyAlignment="1">
      <alignment horizontal="center"/>
    </xf>
    <xf numFmtId="41" fontId="17" fillId="4" borderId="40" xfId="1" applyNumberFormat="1" applyFont="1" applyFill="1" applyBorder="1" applyAlignment="1">
      <alignment horizontal="center"/>
    </xf>
    <xf numFmtId="41" fontId="17" fillId="4" borderId="4" xfId="1" applyNumberFormat="1" applyFont="1" applyFill="1" applyBorder="1" applyAlignment="1">
      <alignment horizontal="center"/>
    </xf>
    <xf numFmtId="0" fontId="17" fillId="0" borderId="50" xfId="0" applyFont="1" applyBorder="1" applyAlignment="1">
      <alignment horizontal="left"/>
    </xf>
    <xf numFmtId="0" fontId="17" fillId="0" borderId="51" xfId="0" applyFont="1" applyBorder="1" applyAlignment="1">
      <alignment horizontal="left"/>
    </xf>
    <xf numFmtId="188" fontId="17" fillId="0" borderId="50" xfId="1" applyNumberFormat="1" applyFont="1" applyBorder="1" applyAlignment="1">
      <alignment horizontal="center"/>
    </xf>
    <xf numFmtId="188" fontId="17" fillId="0" borderId="52" xfId="1" applyNumberFormat="1" applyFont="1" applyBorder="1" applyAlignment="1">
      <alignment horizontal="center"/>
    </xf>
    <xf numFmtId="188" fontId="17" fillId="0" borderId="51" xfId="1" applyNumberFormat="1" applyFont="1" applyBorder="1" applyAlignment="1">
      <alignment horizontal="center"/>
    </xf>
    <xf numFmtId="0" fontId="17" fillId="3" borderId="53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/>
    </xf>
    <xf numFmtId="0" fontId="17" fillId="3" borderId="55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6" fillId="0" borderId="60" xfId="0" applyFont="1" applyBorder="1" applyAlignment="1">
      <alignment horizontal="left"/>
    </xf>
    <xf numFmtId="0" fontId="13" fillId="0" borderId="61" xfId="0" applyFont="1" applyBorder="1" applyAlignment="1">
      <alignment horizontal="left"/>
    </xf>
    <xf numFmtId="187" fontId="14" fillId="0" borderId="3" xfId="3" applyNumberFormat="1" applyFont="1" applyBorder="1" applyAlignment="1">
      <alignment horizontal="center"/>
    </xf>
    <xf numFmtId="187" fontId="14" fillId="0" borderId="4" xfId="3" applyNumberFormat="1" applyFont="1" applyBorder="1" applyAlignment="1">
      <alignment horizontal="center"/>
    </xf>
    <xf numFmtId="43" fontId="17" fillId="4" borderId="3" xfId="1" applyFont="1" applyFill="1" applyBorder="1" applyAlignment="1">
      <alignment horizontal="right"/>
    </xf>
    <xf numFmtId="43" fontId="17" fillId="4" borderId="40" xfId="1" applyFont="1" applyFill="1" applyBorder="1" applyAlignment="1">
      <alignment horizontal="right"/>
    </xf>
    <xf numFmtId="43" fontId="17" fillId="4" borderId="4" xfId="1" applyFont="1" applyFill="1" applyBorder="1" applyAlignment="1">
      <alignment horizontal="right"/>
    </xf>
    <xf numFmtId="0" fontId="14" fillId="0" borderId="32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6" fillId="0" borderId="40" xfId="0" applyFont="1" applyBorder="1" applyAlignment="1">
      <alignment horizontal="left"/>
    </xf>
    <xf numFmtId="0" fontId="14" fillId="0" borderId="9" xfId="2" applyFont="1" applyBorder="1" applyAlignment="1">
      <alignment horizontal="center"/>
    </xf>
    <xf numFmtId="0" fontId="14" fillId="0" borderId="0" xfId="2" applyFont="1" applyAlignment="1">
      <alignment horizontal="center"/>
    </xf>
    <xf numFmtId="0" fontId="14" fillId="0" borderId="38" xfId="2" applyFont="1" applyBorder="1" applyAlignment="1">
      <alignment horizontal="center"/>
    </xf>
    <xf numFmtId="0" fontId="16" fillId="0" borderId="5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0" borderId="43" xfId="2" applyFont="1" applyBorder="1" applyAlignment="1">
      <alignment horizontal="center"/>
    </xf>
    <xf numFmtId="0" fontId="14" fillId="0" borderId="44" xfId="2" applyFont="1" applyBorder="1" applyAlignment="1">
      <alignment horizontal="center"/>
    </xf>
    <xf numFmtId="0" fontId="14" fillId="0" borderId="45" xfId="2" applyFont="1" applyBorder="1" applyAlignment="1">
      <alignment horizontal="center"/>
    </xf>
    <xf numFmtId="0" fontId="21" fillId="0" borderId="47" xfId="0" applyFont="1" applyBorder="1" applyAlignment="1">
      <alignment horizontal="left"/>
    </xf>
    <xf numFmtId="0" fontId="21" fillId="0" borderId="48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14" fillId="0" borderId="40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7" fillId="4" borderId="3" xfId="0" applyFont="1" applyFill="1" applyBorder="1"/>
    <xf numFmtId="0" fontId="17" fillId="4" borderId="4" xfId="0" applyFont="1" applyFill="1" applyBorder="1"/>
    <xf numFmtId="189" fontId="18" fillId="0" borderId="3" xfId="0" applyNumberFormat="1" applyFont="1" applyBorder="1" applyAlignment="1">
      <alignment horizontal="center" vertical="center"/>
    </xf>
    <xf numFmtId="189" fontId="18" fillId="0" borderId="40" xfId="0" applyNumberFormat="1" applyFont="1" applyBorder="1" applyAlignment="1">
      <alignment horizontal="center" vertical="center"/>
    </xf>
    <xf numFmtId="189" fontId="18" fillId="0" borderId="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59" fontId="13" fillId="0" borderId="0" xfId="0" applyNumberFormat="1" applyFont="1" applyAlignment="1">
      <alignment horizontal="left"/>
    </xf>
    <xf numFmtId="0" fontId="13" fillId="0" borderId="14" xfId="0" applyFont="1" applyBorder="1" applyAlignment="1">
      <alignment horizontal="center"/>
    </xf>
    <xf numFmtId="0" fontId="14" fillId="2" borderId="15" xfId="0" applyFont="1" applyFill="1" applyBorder="1" applyAlignment="1">
      <alignment horizontal="center" vertical="center" shrinkToFit="1"/>
    </xf>
    <xf numFmtId="0" fontId="14" fillId="2" borderId="19" xfId="0" applyFont="1" applyFill="1" applyBorder="1" applyAlignment="1">
      <alignment horizontal="center" vertical="center" shrinkToFit="1"/>
    </xf>
    <xf numFmtId="0" fontId="14" fillId="2" borderId="20" xfId="0" applyFont="1" applyFill="1" applyBorder="1" applyAlignment="1">
      <alignment horizontal="center" vertical="center" shrinkToFit="1"/>
    </xf>
    <xf numFmtId="0" fontId="14" fillId="2" borderId="16" xfId="0" applyFont="1" applyFill="1" applyBorder="1" applyAlignment="1">
      <alignment horizontal="center"/>
    </xf>
    <xf numFmtId="0" fontId="14" fillId="2" borderId="17" xfId="0" applyFont="1" applyFill="1" applyBorder="1" applyAlignment="1">
      <alignment horizontal="center"/>
    </xf>
    <xf numFmtId="0" fontId="14" fillId="2" borderId="18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left"/>
    </xf>
    <xf numFmtId="0" fontId="17" fillId="0" borderId="47" xfId="0" applyFont="1" applyBorder="1" applyAlignment="1">
      <alignment horizontal="left"/>
    </xf>
    <xf numFmtId="0" fontId="17" fillId="0" borderId="48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0" xfId="0" applyFont="1"/>
    <xf numFmtId="0" fontId="14" fillId="0" borderId="62" xfId="2" applyFont="1" applyBorder="1" applyAlignment="1">
      <alignment horizontal="center"/>
    </xf>
    <xf numFmtId="0" fontId="14" fillId="0" borderId="63" xfId="2" applyFont="1" applyBorder="1" applyAlignment="1">
      <alignment horizontal="center"/>
    </xf>
    <xf numFmtId="0" fontId="14" fillId="0" borderId="64" xfId="2" applyFont="1" applyBorder="1" applyAlignment="1">
      <alignment horizontal="center"/>
    </xf>
    <xf numFmtId="0" fontId="16" fillId="0" borderId="9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4" fillId="0" borderId="32" xfId="2" applyFont="1" applyBorder="1" applyAlignment="1">
      <alignment horizontal="center"/>
    </xf>
    <xf numFmtId="0" fontId="14" fillId="0" borderId="33" xfId="2" applyFont="1" applyBorder="1" applyAlignment="1">
      <alignment horizontal="center"/>
    </xf>
    <xf numFmtId="0" fontId="14" fillId="0" borderId="34" xfId="2" applyFont="1" applyBorder="1" applyAlignment="1">
      <alignment horizontal="center"/>
    </xf>
    <xf numFmtId="0" fontId="16" fillId="0" borderId="61" xfId="0" applyFont="1" applyBorder="1" applyAlignment="1">
      <alignment horizontal="left"/>
    </xf>
    <xf numFmtId="0" fontId="23" fillId="0" borderId="47" xfId="0" applyFont="1" applyBorder="1" applyAlignment="1">
      <alignment horizontal="left"/>
    </xf>
    <xf numFmtId="0" fontId="23" fillId="0" borderId="48" xfId="0" applyFont="1" applyBorder="1" applyAlignment="1">
      <alignment horizontal="left"/>
    </xf>
    <xf numFmtId="0" fontId="2" fillId="0" borderId="61" xfId="0" applyFont="1" applyBorder="1" applyAlignment="1">
      <alignment horizontal="left"/>
    </xf>
    <xf numFmtId="0" fontId="5" fillId="0" borderId="62" xfId="2" applyFont="1" applyBorder="1" applyAlignment="1">
      <alignment horizontal="center"/>
    </xf>
    <xf numFmtId="0" fontId="5" fillId="0" borderId="63" xfId="2" applyFont="1" applyBorder="1" applyAlignment="1">
      <alignment horizontal="center"/>
    </xf>
    <xf numFmtId="0" fontId="5" fillId="0" borderId="64" xfId="2" applyFont="1" applyBorder="1" applyAlignment="1">
      <alignment horizontal="center"/>
    </xf>
    <xf numFmtId="0" fontId="5" fillId="0" borderId="32" xfId="2" applyFont="1" applyBorder="1" applyAlignment="1">
      <alignment horizontal="center"/>
    </xf>
    <xf numFmtId="0" fontId="5" fillId="0" borderId="33" xfId="2" applyFont="1" applyBorder="1" applyAlignment="1">
      <alignment horizontal="center"/>
    </xf>
    <xf numFmtId="0" fontId="5" fillId="0" borderId="34" xfId="2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</cellXfs>
  <cellStyles count="4">
    <cellStyle name="เครื่องหมายจุลภาค" xfId="1" builtinId="3"/>
    <cellStyle name="เครื่องหมายจุลภาค 2" xfId="3"/>
    <cellStyle name="ปกติ" xfId="0" builtinId="0"/>
    <cellStyle name="ปกติ 2" xfId="2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M46"/>
  <sheetViews>
    <sheetView zoomScaleNormal="100" workbookViewId="0">
      <selection activeCell="H2" sqref="H2:J2"/>
    </sheetView>
  </sheetViews>
  <sheetFormatPr defaultColWidth="9" defaultRowHeight="21"/>
  <cols>
    <col min="1" max="1" width="5.75" style="14" customWidth="1"/>
    <col min="2" max="2" width="44.625" style="14" customWidth="1"/>
    <col min="3" max="3" width="8.625" style="14" customWidth="1"/>
    <col min="4" max="6" width="7.625" style="14" customWidth="1"/>
    <col min="7" max="7" width="8.625" style="14" customWidth="1"/>
    <col min="8" max="8" width="7.625" style="14" customWidth="1"/>
    <col min="9" max="9" width="8.625" style="14" customWidth="1"/>
    <col min="10" max="10" width="9.625" style="14" customWidth="1"/>
    <col min="11" max="16384" width="9" style="14"/>
  </cols>
  <sheetData>
    <row r="1" spans="1:11" s="1" customFormat="1" ht="23.25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10"/>
    </row>
    <row r="2" spans="1:11" s="1" customFormat="1">
      <c r="A2" s="198" t="s">
        <v>34</v>
      </c>
      <c r="B2" s="198"/>
      <c r="C2" s="198" t="s">
        <v>69</v>
      </c>
      <c r="D2" s="198"/>
      <c r="E2" s="198"/>
      <c r="F2" s="198"/>
      <c r="G2" s="198"/>
      <c r="H2" s="244" t="s">
        <v>66</v>
      </c>
      <c r="I2" s="244"/>
      <c r="J2" s="244"/>
      <c r="K2" s="89"/>
    </row>
    <row r="3" spans="1:11" s="1" customFormat="1">
      <c r="A3" s="245" t="s">
        <v>72</v>
      </c>
      <c r="B3" s="245"/>
      <c r="C3" s="245"/>
      <c r="D3" s="245"/>
      <c r="E3" s="245"/>
      <c r="F3" s="245"/>
      <c r="G3" s="245"/>
      <c r="H3" s="245"/>
      <c r="I3" s="245"/>
      <c r="J3" s="245"/>
      <c r="K3" s="9"/>
    </row>
    <row r="4" spans="1:11" s="12" customFormat="1">
      <c r="A4" s="246" t="s">
        <v>43</v>
      </c>
      <c r="B4" s="246" t="s">
        <v>1</v>
      </c>
      <c r="C4" s="246" t="s">
        <v>2</v>
      </c>
      <c r="D4" s="246" t="s">
        <v>3</v>
      </c>
      <c r="E4" s="246" t="s">
        <v>4</v>
      </c>
      <c r="F4" s="249" t="s">
        <v>44</v>
      </c>
      <c r="G4" s="250"/>
      <c r="H4" s="249" t="s">
        <v>45</v>
      </c>
      <c r="I4" s="250"/>
      <c r="J4" s="251" t="s">
        <v>5</v>
      </c>
    </row>
    <row r="5" spans="1:11" s="12" customFormat="1">
      <c r="A5" s="247"/>
      <c r="B5" s="247"/>
      <c r="C5" s="248"/>
      <c r="D5" s="248"/>
      <c r="E5" s="248"/>
      <c r="F5" s="13" t="s">
        <v>46</v>
      </c>
      <c r="G5" s="13" t="s">
        <v>47</v>
      </c>
      <c r="H5" s="13" t="s">
        <v>46</v>
      </c>
      <c r="I5" s="13" t="s">
        <v>47</v>
      </c>
      <c r="J5" s="252"/>
    </row>
    <row r="6" spans="1:11">
      <c r="A6" s="227" t="s">
        <v>48</v>
      </c>
      <c r="B6" s="228"/>
      <c r="C6" s="228"/>
      <c r="D6" s="228"/>
      <c r="E6" s="228"/>
      <c r="F6" s="228"/>
      <c r="G6" s="228"/>
      <c r="H6" s="228"/>
      <c r="I6" s="228"/>
      <c r="J6" s="229"/>
    </row>
    <row r="7" spans="1:11" s="19" customFormat="1">
      <c r="A7" s="2"/>
      <c r="B7" s="3" t="s">
        <v>49</v>
      </c>
      <c r="C7" s="15" t="s">
        <v>6</v>
      </c>
      <c r="D7" s="15">
        <v>1</v>
      </c>
      <c r="E7" s="16" t="s">
        <v>7</v>
      </c>
      <c r="F7" s="4">
        <v>645</v>
      </c>
      <c r="G7" s="17">
        <f>D7*F7</f>
        <v>645</v>
      </c>
      <c r="H7" s="17">
        <v>100</v>
      </c>
      <c r="I7" s="17">
        <f>D7*H7</f>
        <v>100</v>
      </c>
      <c r="J7" s="18"/>
    </row>
    <row r="8" spans="1:11" s="26" customFormat="1">
      <c r="A8" s="20"/>
      <c r="B8" s="21" t="s">
        <v>50</v>
      </c>
      <c r="C8" s="21"/>
      <c r="D8" s="21"/>
      <c r="E8" s="21"/>
      <c r="F8" s="22"/>
      <c r="G8" s="23">
        <f>SUM(G7:G7)</f>
        <v>645</v>
      </c>
      <c r="H8" s="24"/>
      <c r="I8" s="24"/>
      <c r="J8" s="25"/>
    </row>
    <row r="9" spans="1:11" s="26" customFormat="1">
      <c r="A9" s="27"/>
      <c r="B9" s="28" t="s">
        <v>51</v>
      </c>
      <c r="C9" s="28"/>
      <c r="D9" s="28"/>
      <c r="E9" s="28"/>
      <c r="F9" s="29"/>
      <c r="G9" s="30">
        <v>0</v>
      </c>
      <c r="H9" s="31"/>
      <c r="I9" s="31"/>
      <c r="J9" s="32"/>
    </row>
    <row r="10" spans="1:11" s="26" customFormat="1">
      <c r="A10" s="33"/>
      <c r="B10" s="34" t="s">
        <v>21</v>
      </c>
      <c r="C10" s="213"/>
      <c r="D10" s="214"/>
      <c r="E10" s="214"/>
      <c r="F10" s="215"/>
      <c r="G10" s="35">
        <f>SUM(G8:G9)</f>
        <v>645</v>
      </c>
      <c r="H10" s="36"/>
      <c r="I10" s="35">
        <f>SUM(I7:I9)</f>
        <v>100</v>
      </c>
      <c r="J10" s="37"/>
    </row>
    <row r="11" spans="1:11">
      <c r="A11" s="227" t="s">
        <v>52</v>
      </c>
      <c r="B11" s="228"/>
      <c r="C11" s="228"/>
      <c r="D11" s="228"/>
      <c r="E11" s="228"/>
      <c r="F11" s="228"/>
      <c r="G11" s="228"/>
      <c r="H11" s="228"/>
      <c r="I11" s="228"/>
      <c r="J11" s="229"/>
    </row>
    <row r="12" spans="1:11" s="19" customFormat="1">
      <c r="A12" s="41"/>
      <c r="B12" s="5" t="s">
        <v>9</v>
      </c>
      <c r="C12" s="6">
        <v>20</v>
      </c>
      <c r="D12" s="7">
        <v>5</v>
      </c>
      <c r="E12" s="6" t="s">
        <v>10</v>
      </c>
      <c r="F12" s="7">
        <v>39</v>
      </c>
      <c r="G12" s="42">
        <f t="shared" ref="G12:G21" si="0">F12*D12</f>
        <v>195</v>
      </c>
      <c r="H12" s="60">
        <v>0</v>
      </c>
      <c r="I12" s="60">
        <v>0</v>
      </c>
      <c r="J12" s="43"/>
    </row>
    <row r="13" spans="1:11" s="19" customFormat="1">
      <c r="A13" s="41"/>
      <c r="B13" s="5" t="s">
        <v>70</v>
      </c>
      <c r="C13" s="6" t="s">
        <v>71</v>
      </c>
      <c r="D13" s="7">
        <v>4</v>
      </c>
      <c r="E13" s="6" t="s">
        <v>13</v>
      </c>
      <c r="F13" s="7">
        <v>141</v>
      </c>
      <c r="G13" s="42">
        <f t="shared" si="0"/>
        <v>564</v>
      </c>
      <c r="H13" s="79">
        <v>0</v>
      </c>
      <c r="I13" s="80">
        <v>0</v>
      </c>
      <c r="J13" s="43"/>
    </row>
    <row r="14" spans="1:11" s="19" customFormat="1">
      <c r="A14" s="41"/>
      <c r="B14" s="5" t="s">
        <v>11</v>
      </c>
      <c r="C14" s="6" t="s">
        <v>22</v>
      </c>
      <c r="D14" s="7">
        <v>1</v>
      </c>
      <c r="E14" s="6" t="s">
        <v>13</v>
      </c>
      <c r="F14" s="7">
        <v>237</v>
      </c>
      <c r="G14" s="42">
        <f t="shared" si="0"/>
        <v>237</v>
      </c>
      <c r="H14" s="79">
        <v>0</v>
      </c>
      <c r="I14" s="80">
        <v>0</v>
      </c>
      <c r="J14" s="43"/>
    </row>
    <row r="15" spans="1:11" s="19" customFormat="1">
      <c r="A15" s="41"/>
      <c r="B15" s="5" t="s">
        <v>23</v>
      </c>
      <c r="C15" s="6" t="s">
        <v>24</v>
      </c>
      <c r="D15" s="7">
        <v>1</v>
      </c>
      <c r="E15" s="6" t="s">
        <v>15</v>
      </c>
      <c r="F15" s="7">
        <v>81</v>
      </c>
      <c r="G15" s="42">
        <f t="shared" si="0"/>
        <v>81</v>
      </c>
      <c r="H15" s="79">
        <v>0</v>
      </c>
      <c r="I15" s="80">
        <v>0</v>
      </c>
      <c r="J15" s="43"/>
    </row>
    <row r="16" spans="1:11" s="19" customFormat="1">
      <c r="A16" s="41"/>
      <c r="B16" s="5" t="s">
        <v>16</v>
      </c>
      <c r="C16" s="6">
        <v>20</v>
      </c>
      <c r="D16" s="7">
        <v>2</v>
      </c>
      <c r="E16" s="6" t="s">
        <v>15</v>
      </c>
      <c r="F16" s="7">
        <v>70</v>
      </c>
      <c r="G16" s="42">
        <f t="shared" si="0"/>
        <v>140</v>
      </c>
      <c r="H16" s="79">
        <v>0</v>
      </c>
      <c r="I16" s="80">
        <v>0</v>
      </c>
      <c r="J16" s="43"/>
    </row>
    <row r="17" spans="1:10" s="19" customFormat="1">
      <c r="A17" s="41"/>
      <c r="B17" s="5" t="s">
        <v>14</v>
      </c>
      <c r="C17" s="6" t="s">
        <v>6</v>
      </c>
      <c r="D17" s="7">
        <v>2</v>
      </c>
      <c r="E17" s="6" t="s">
        <v>15</v>
      </c>
      <c r="F17" s="7">
        <v>175</v>
      </c>
      <c r="G17" s="42">
        <f t="shared" si="0"/>
        <v>350</v>
      </c>
      <c r="H17" s="79">
        <v>0</v>
      </c>
      <c r="I17" s="82">
        <v>0</v>
      </c>
      <c r="J17" s="43"/>
    </row>
    <row r="18" spans="1:10" s="19" customFormat="1">
      <c r="A18" s="41"/>
      <c r="B18" s="5" t="s">
        <v>19</v>
      </c>
      <c r="C18" s="6" t="s">
        <v>6</v>
      </c>
      <c r="D18" s="7">
        <v>1</v>
      </c>
      <c r="E18" s="6" t="s">
        <v>15</v>
      </c>
      <c r="F18" s="7">
        <v>65</v>
      </c>
      <c r="G18" s="42">
        <f t="shared" si="0"/>
        <v>65</v>
      </c>
      <c r="H18" s="79">
        <v>0</v>
      </c>
      <c r="I18" s="79">
        <v>0</v>
      </c>
      <c r="J18" s="43"/>
    </row>
    <row r="19" spans="1:10" s="19" customFormat="1">
      <c r="A19" s="41"/>
      <c r="B19" s="5" t="s">
        <v>35</v>
      </c>
      <c r="C19" s="6" t="s">
        <v>20</v>
      </c>
      <c r="D19" s="7">
        <v>1</v>
      </c>
      <c r="E19" s="6" t="s">
        <v>15</v>
      </c>
      <c r="F19" s="7">
        <v>77</v>
      </c>
      <c r="G19" s="42">
        <f t="shared" si="0"/>
        <v>77</v>
      </c>
      <c r="H19" s="80">
        <v>0</v>
      </c>
      <c r="I19" s="79">
        <v>0</v>
      </c>
      <c r="J19" s="43"/>
    </row>
    <row r="20" spans="1:10" s="19" customFormat="1">
      <c r="A20" s="41"/>
      <c r="B20" s="5" t="s">
        <v>17</v>
      </c>
      <c r="C20" s="6"/>
      <c r="D20" s="7">
        <v>1</v>
      </c>
      <c r="E20" s="6" t="s">
        <v>18</v>
      </c>
      <c r="F20" s="7">
        <v>12</v>
      </c>
      <c r="G20" s="42">
        <f>F20*D20</f>
        <v>12</v>
      </c>
      <c r="H20" s="79">
        <v>0</v>
      </c>
      <c r="I20" s="79">
        <v>0</v>
      </c>
      <c r="J20" s="43"/>
    </row>
    <row r="21" spans="1:10" s="19" customFormat="1">
      <c r="A21" s="41"/>
      <c r="B21" s="5" t="s">
        <v>36</v>
      </c>
      <c r="C21" s="6"/>
      <c r="D21" s="7">
        <v>1</v>
      </c>
      <c r="E21" s="6" t="s">
        <v>13</v>
      </c>
      <c r="F21" s="7">
        <v>3</v>
      </c>
      <c r="G21" s="42">
        <f t="shared" si="0"/>
        <v>3</v>
      </c>
      <c r="H21" s="79">
        <v>0</v>
      </c>
      <c r="I21" s="79">
        <v>0</v>
      </c>
      <c r="J21" s="43"/>
    </row>
    <row r="22" spans="1:10" s="19" customFormat="1">
      <c r="A22" s="41"/>
      <c r="B22" s="5" t="s">
        <v>38</v>
      </c>
      <c r="C22" s="6"/>
      <c r="D22" s="7">
        <v>0.4</v>
      </c>
      <c r="E22" s="6" t="s">
        <v>37</v>
      </c>
      <c r="F22" s="7">
        <v>320</v>
      </c>
      <c r="G22" s="75">
        <f>F22*D22</f>
        <v>128</v>
      </c>
      <c r="H22" s="79">
        <v>0</v>
      </c>
      <c r="I22" s="79">
        <v>0</v>
      </c>
      <c r="J22" s="43"/>
    </row>
    <row r="23" spans="1:10" s="26" customFormat="1">
      <c r="A23" s="20"/>
      <c r="B23" s="21" t="s">
        <v>50</v>
      </c>
      <c r="C23" s="21"/>
      <c r="D23" s="21"/>
      <c r="E23" s="21"/>
      <c r="F23" s="22"/>
      <c r="G23" s="23">
        <f>SUM(G12:G22)</f>
        <v>1852</v>
      </c>
      <c r="H23" s="79"/>
      <c r="I23" s="79"/>
      <c r="J23" s="25"/>
    </row>
    <row r="24" spans="1:10" s="26" customFormat="1">
      <c r="A24" s="27"/>
      <c r="B24" s="28" t="s">
        <v>51</v>
      </c>
      <c r="C24" s="28"/>
      <c r="D24" s="28"/>
      <c r="E24" s="28"/>
      <c r="F24" s="29"/>
      <c r="G24" s="30">
        <v>0</v>
      </c>
      <c r="H24" s="31"/>
      <c r="I24" s="78"/>
      <c r="J24" s="32"/>
    </row>
    <row r="25" spans="1:10" s="26" customFormat="1">
      <c r="A25" s="33"/>
      <c r="B25" s="34" t="s">
        <v>54</v>
      </c>
      <c r="C25" s="213"/>
      <c r="D25" s="214"/>
      <c r="E25" s="214"/>
      <c r="F25" s="215"/>
      <c r="G25" s="35">
        <f>SUM(G23:G24)</f>
        <v>1852</v>
      </c>
      <c r="H25" s="36"/>
      <c r="I25" s="35">
        <f>SUM(I12:I24)</f>
        <v>0</v>
      </c>
      <c r="J25" s="37"/>
    </row>
    <row r="26" spans="1:10" s="19" customFormat="1">
      <c r="A26" s="199" t="s">
        <v>55</v>
      </c>
      <c r="B26" s="223"/>
      <c r="C26" s="223"/>
      <c r="D26" s="223"/>
      <c r="E26" s="223"/>
      <c r="F26" s="223"/>
      <c r="G26" s="223"/>
      <c r="H26" s="223"/>
      <c r="I26" s="223"/>
      <c r="J26" s="200"/>
    </row>
    <row r="27" spans="1:10" s="19" customFormat="1">
      <c r="A27" s="38"/>
      <c r="B27" s="39"/>
      <c r="C27" s="224" t="s">
        <v>53</v>
      </c>
      <c r="D27" s="225"/>
      <c r="E27" s="225"/>
      <c r="F27" s="225"/>
      <c r="G27" s="225"/>
      <c r="H27" s="225"/>
      <c r="I27" s="226"/>
      <c r="J27" s="40"/>
    </row>
    <row r="28" spans="1:10" s="26" customFormat="1">
      <c r="A28" s="20"/>
      <c r="B28" s="21" t="s">
        <v>50</v>
      </c>
      <c r="C28" s="21"/>
      <c r="D28" s="21"/>
      <c r="E28" s="21"/>
      <c r="F28" s="22"/>
      <c r="G28" s="44">
        <f>SUM(G27:G27)</f>
        <v>0</v>
      </c>
      <c r="H28" s="24"/>
      <c r="I28" s="24"/>
      <c r="J28" s="25"/>
    </row>
    <row r="29" spans="1:10" s="26" customFormat="1">
      <c r="A29" s="27"/>
      <c r="B29" s="28" t="s">
        <v>51</v>
      </c>
      <c r="C29" s="28"/>
      <c r="D29" s="28"/>
      <c r="E29" s="28"/>
      <c r="F29" s="29"/>
      <c r="G29" s="30">
        <f>G28*10%</f>
        <v>0</v>
      </c>
      <c r="H29" s="31"/>
      <c r="I29" s="31"/>
      <c r="J29" s="32"/>
    </row>
    <row r="30" spans="1:10" s="26" customFormat="1">
      <c r="A30" s="45"/>
      <c r="B30" s="34" t="s">
        <v>56</v>
      </c>
      <c r="C30" s="213"/>
      <c r="D30" s="214"/>
      <c r="E30" s="214"/>
      <c r="F30" s="215"/>
      <c r="G30" s="35">
        <f>SUM(G28:G29)</f>
        <v>0</v>
      </c>
      <c r="H30" s="36"/>
      <c r="I30" s="46">
        <f>SUM(I27:I29)</f>
        <v>0</v>
      </c>
      <c r="J30" s="47">
        <f>I30+G30</f>
        <v>0</v>
      </c>
    </row>
    <row r="31" spans="1:10" s="19" customFormat="1">
      <c r="A31" s="227" t="s">
        <v>57</v>
      </c>
      <c r="B31" s="228"/>
      <c r="C31" s="228"/>
      <c r="D31" s="228"/>
      <c r="E31" s="228"/>
      <c r="F31" s="228"/>
      <c r="G31" s="228"/>
      <c r="H31" s="228"/>
      <c r="I31" s="228"/>
      <c r="J31" s="229"/>
    </row>
    <row r="32" spans="1:10" s="19" customFormat="1">
      <c r="A32" s="38"/>
      <c r="B32" s="39"/>
      <c r="C32" s="224" t="s">
        <v>53</v>
      </c>
      <c r="D32" s="225"/>
      <c r="E32" s="225"/>
      <c r="F32" s="225"/>
      <c r="G32" s="225"/>
      <c r="H32" s="225"/>
      <c r="I32" s="226"/>
      <c r="J32" s="40"/>
    </row>
    <row r="33" spans="1:13" s="19" customFormat="1">
      <c r="A33" s="49"/>
      <c r="B33" s="48" t="s">
        <v>50</v>
      </c>
      <c r="C33" s="48"/>
      <c r="D33" s="48"/>
      <c r="E33" s="48"/>
      <c r="F33" s="42"/>
      <c r="G33" s="23">
        <f>SUM(G32:G32)</f>
        <v>0</v>
      </c>
      <c r="H33" s="50"/>
      <c r="I33" s="50"/>
      <c r="J33" s="51"/>
    </row>
    <row r="34" spans="1:13" s="19" customFormat="1">
      <c r="A34" s="52"/>
      <c r="B34" s="53" t="s">
        <v>51</v>
      </c>
      <c r="C34" s="53"/>
      <c r="D34" s="53"/>
      <c r="E34" s="53"/>
      <c r="F34" s="54"/>
      <c r="G34" s="55">
        <f>G33*10%</f>
        <v>0</v>
      </c>
      <c r="H34" s="56"/>
      <c r="I34" s="56"/>
      <c r="J34" s="57"/>
    </row>
    <row r="35" spans="1:13" s="19" customFormat="1">
      <c r="A35" s="58"/>
      <c r="B35" s="59" t="s">
        <v>58</v>
      </c>
      <c r="C35" s="230"/>
      <c r="D35" s="231"/>
      <c r="E35" s="231"/>
      <c r="F35" s="232"/>
      <c r="G35" s="60">
        <f>SUM(G33:G34)</f>
        <v>0</v>
      </c>
      <c r="H35" s="61"/>
      <c r="I35" s="62">
        <f>SUM(I32:I34)</f>
        <v>0</v>
      </c>
      <c r="J35" s="63">
        <f>I35+G35</f>
        <v>0</v>
      </c>
    </row>
    <row r="36" spans="1:13" s="26" customFormat="1">
      <c r="A36" s="233" t="s">
        <v>65</v>
      </c>
      <c r="B36" s="234"/>
      <c r="C36" s="235"/>
      <c r="D36" s="236"/>
      <c r="E36" s="236"/>
      <c r="F36" s="236"/>
      <c r="G36" s="236"/>
      <c r="H36" s="236"/>
      <c r="I36" s="237"/>
      <c r="J36" s="64">
        <v>3600</v>
      </c>
      <c r="K36" s="65"/>
      <c r="L36" s="66"/>
      <c r="M36" s="67"/>
    </row>
    <row r="37" spans="1:13" s="69" customFormat="1">
      <c r="A37" s="238" t="s">
        <v>59</v>
      </c>
      <c r="B37" s="239"/>
      <c r="C37" s="240"/>
      <c r="D37" s="241"/>
      <c r="E37" s="241"/>
      <c r="F37" s="241"/>
      <c r="G37" s="241"/>
      <c r="H37" s="241"/>
      <c r="I37" s="242"/>
      <c r="J37" s="68">
        <v>0</v>
      </c>
    </row>
    <row r="38" spans="1:13" s="19" customFormat="1">
      <c r="A38" s="216" t="s">
        <v>60</v>
      </c>
      <c r="B38" s="217"/>
      <c r="C38" s="76" t="s">
        <v>8</v>
      </c>
      <c r="D38" s="70" t="s">
        <v>8</v>
      </c>
      <c r="E38" s="71" t="s">
        <v>61</v>
      </c>
      <c r="F38" s="218">
        <v>0</v>
      </c>
      <c r="G38" s="219"/>
      <c r="H38" s="220">
        <v>0</v>
      </c>
      <c r="I38" s="221"/>
      <c r="J38" s="222"/>
    </row>
    <row r="39" spans="1:13" s="69" customFormat="1">
      <c r="A39" s="199" t="s">
        <v>62</v>
      </c>
      <c r="B39" s="200"/>
      <c r="C39" s="77" t="s">
        <v>6</v>
      </c>
      <c r="D39" s="72">
        <v>1</v>
      </c>
      <c r="E39" s="73" t="s">
        <v>7</v>
      </c>
      <c r="F39" s="201">
        <v>535</v>
      </c>
      <c r="G39" s="202"/>
      <c r="H39" s="202"/>
      <c r="I39" s="202"/>
      <c r="J39" s="203"/>
    </row>
    <row r="40" spans="1:13" s="69" customFormat="1" ht="21.75" thickBot="1">
      <c r="A40" s="204" t="s">
        <v>63</v>
      </c>
      <c r="B40" s="205"/>
      <c r="C40" s="206">
        <f>(J36+J37+H38+F39)</f>
        <v>4135</v>
      </c>
      <c r="D40" s="207"/>
      <c r="E40" s="207"/>
      <c r="F40" s="207"/>
      <c r="G40" s="207"/>
      <c r="H40" s="207"/>
      <c r="I40" s="207"/>
      <c r="J40" s="208"/>
      <c r="L40" s="74"/>
    </row>
    <row r="41" spans="1:13" s="69" customFormat="1" ht="21.75" thickBot="1">
      <c r="A41" s="209" t="str">
        <f>BAHTTEXT(C40)</f>
        <v>สี่พันหนึ่งร้อยสามสิบห้าบาทถ้วน</v>
      </c>
      <c r="B41" s="210"/>
      <c r="C41" s="210"/>
      <c r="D41" s="210"/>
      <c r="E41" s="210"/>
      <c r="F41" s="210"/>
      <c r="G41" s="210"/>
      <c r="H41" s="210"/>
      <c r="I41" s="210"/>
      <c r="J41" s="211"/>
    </row>
    <row r="43" spans="1:13" s="1" customFormat="1">
      <c r="A43" s="212" t="s">
        <v>64</v>
      </c>
      <c r="B43" s="212"/>
      <c r="C43" s="11"/>
      <c r="D43" s="11"/>
      <c r="E43" s="198" t="s">
        <v>85</v>
      </c>
      <c r="F43" s="198"/>
      <c r="G43" s="198"/>
      <c r="H43" s="198"/>
      <c r="I43" s="198"/>
      <c r="J43" s="198"/>
      <c r="K43" s="11"/>
    </row>
    <row r="44" spans="1:13" s="1" customFormat="1">
      <c r="A44" s="198" t="s">
        <v>79</v>
      </c>
      <c r="B44" s="198"/>
      <c r="C44" s="11"/>
      <c r="D44" s="11"/>
      <c r="E44" s="198" t="s">
        <v>93</v>
      </c>
      <c r="F44" s="198"/>
      <c r="G44" s="198"/>
      <c r="H44" s="198"/>
      <c r="I44" s="198"/>
      <c r="J44" s="198"/>
      <c r="K44" s="11"/>
    </row>
    <row r="45" spans="1:13" s="1" customFormat="1">
      <c r="A45" s="198" t="s">
        <v>109</v>
      </c>
      <c r="B45" s="198"/>
      <c r="C45" s="11"/>
      <c r="D45" s="11"/>
      <c r="E45" s="198" t="s">
        <v>99</v>
      </c>
      <c r="F45" s="198"/>
      <c r="G45" s="198"/>
      <c r="H45" s="198"/>
      <c r="I45" s="198"/>
      <c r="J45" s="198"/>
      <c r="K45" s="11"/>
    </row>
    <row r="46" spans="1:13">
      <c r="E46" s="198" t="s">
        <v>100</v>
      </c>
      <c r="F46" s="198"/>
      <c r="G46" s="198"/>
      <c r="H46" s="198"/>
      <c r="I46" s="198"/>
      <c r="J46" s="198"/>
    </row>
  </sheetData>
  <mergeCells count="42">
    <mergeCell ref="E46:J46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  <mergeCell ref="A38:B38"/>
    <mergeCell ref="F38:G38"/>
    <mergeCell ref="H38:J38"/>
    <mergeCell ref="C25:F25"/>
    <mergeCell ref="A26:J26"/>
    <mergeCell ref="C27:I27"/>
    <mergeCell ref="C30:F30"/>
    <mergeCell ref="A31:J31"/>
    <mergeCell ref="C32:I32"/>
    <mergeCell ref="C35:F35"/>
    <mergeCell ref="A36:B36"/>
    <mergeCell ref="C36:I36"/>
    <mergeCell ref="A37:B37"/>
    <mergeCell ref="C37:I37"/>
    <mergeCell ref="A44:B44"/>
    <mergeCell ref="A45:B45"/>
    <mergeCell ref="A39:B39"/>
    <mergeCell ref="F39:J39"/>
    <mergeCell ref="A40:B40"/>
    <mergeCell ref="C40:J40"/>
    <mergeCell ref="A41:J41"/>
    <mergeCell ref="A43:B43"/>
    <mergeCell ref="E43:J43"/>
    <mergeCell ref="E44:J44"/>
    <mergeCell ref="E45:J45"/>
  </mergeCells>
  <conditionalFormatting sqref="F39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8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ageMargins left="0.78740157480314965" right="3.937007874015748E-2" top="0.55118110236220474" bottom="3.937007874015748E-2" header="0.31496062992125984" footer="0.31496062992125984"/>
  <pageSetup paperSize="9" scale="70" orientation="portrait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M46"/>
  <sheetViews>
    <sheetView zoomScale="120" zoomScaleNormal="120" workbookViewId="0">
      <selection activeCell="L5" sqref="L5"/>
    </sheetView>
  </sheetViews>
  <sheetFormatPr defaultColWidth="9" defaultRowHeight="24"/>
  <cols>
    <col min="1" max="1" width="5.75" style="99" customWidth="1"/>
    <col min="2" max="2" width="44.7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1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71" customFormat="1">
      <c r="A2" s="253" t="s">
        <v>34</v>
      </c>
      <c r="B2" s="253"/>
      <c r="C2" s="253" t="s">
        <v>119</v>
      </c>
      <c r="D2" s="253"/>
      <c r="E2" s="253"/>
      <c r="F2" s="253"/>
      <c r="G2" s="253"/>
      <c r="H2" s="299" t="s">
        <v>66</v>
      </c>
      <c r="I2" s="299"/>
      <c r="J2" s="299"/>
      <c r="K2" s="96"/>
    </row>
    <row r="3" spans="1:11" s="171" customFormat="1">
      <c r="A3" s="300" t="s">
        <v>141</v>
      </c>
      <c r="B3" s="300"/>
      <c r="C3" s="300"/>
      <c r="D3" s="300"/>
      <c r="E3" s="300"/>
      <c r="F3" s="300"/>
      <c r="G3" s="300"/>
      <c r="H3" s="300"/>
      <c r="I3" s="300"/>
      <c r="J3" s="300"/>
      <c r="K3" s="95"/>
    </row>
    <row r="4" spans="1:11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1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1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1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04">
        <v>986</v>
      </c>
      <c r="G7" s="105">
        <f>D7*F7</f>
        <v>986</v>
      </c>
      <c r="H7" s="105">
        <v>100</v>
      </c>
      <c r="I7" s="105">
        <f>D7*H7</f>
        <v>100</v>
      </c>
      <c r="J7" s="106"/>
    </row>
    <row r="8" spans="1:11" s="114" customFormat="1">
      <c r="A8" s="108"/>
      <c r="B8" s="109" t="s">
        <v>50</v>
      </c>
      <c r="C8" s="109"/>
      <c r="D8" s="109"/>
      <c r="E8" s="109"/>
      <c r="F8" s="110"/>
      <c r="G8" s="111">
        <f>SUM(G7:G7)</f>
        <v>986</v>
      </c>
      <c r="H8" s="112"/>
      <c r="I8" s="112"/>
      <c r="J8" s="113"/>
    </row>
    <row r="9" spans="1:11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</row>
    <row r="10" spans="1:11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986</v>
      </c>
      <c r="H10" s="124"/>
      <c r="I10" s="123">
        <f>SUM(I7:I9)</f>
        <v>100</v>
      </c>
      <c r="J10" s="125"/>
    </row>
    <row r="11" spans="1:11">
      <c r="A11" s="282" t="s">
        <v>52</v>
      </c>
      <c r="B11" s="283"/>
      <c r="C11" s="283"/>
      <c r="D11" s="283"/>
      <c r="E11" s="283"/>
      <c r="F11" s="283"/>
      <c r="G11" s="283"/>
      <c r="H11" s="283"/>
      <c r="I11" s="283"/>
      <c r="J11" s="284"/>
    </row>
    <row r="12" spans="1:11" s="107" customFormat="1">
      <c r="A12" s="126"/>
      <c r="B12" s="127" t="s">
        <v>9</v>
      </c>
      <c r="C12" s="128">
        <v>20</v>
      </c>
      <c r="D12" s="129">
        <v>8</v>
      </c>
      <c r="E12" s="128" t="s">
        <v>10</v>
      </c>
      <c r="F12" s="129">
        <v>43</v>
      </c>
      <c r="G12" s="130">
        <f t="shared" ref="G12:G19" si="0">F12*D12</f>
        <v>344</v>
      </c>
      <c r="H12" s="129">
        <v>8</v>
      </c>
      <c r="I12" s="130">
        <f>SUM(D12*H12)</f>
        <v>64</v>
      </c>
      <c r="J12" s="132"/>
    </row>
    <row r="13" spans="1:11" s="107" customFormat="1">
      <c r="A13" s="126"/>
      <c r="B13" s="127" t="s">
        <v>70</v>
      </c>
      <c r="C13" s="128" t="s">
        <v>71</v>
      </c>
      <c r="D13" s="129">
        <v>6</v>
      </c>
      <c r="E13" s="128" t="s">
        <v>10</v>
      </c>
      <c r="F13" s="129">
        <v>147</v>
      </c>
      <c r="G13" s="130">
        <f t="shared" si="0"/>
        <v>882</v>
      </c>
      <c r="H13" s="129">
        <v>17</v>
      </c>
      <c r="I13" s="130">
        <f t="shared" ref="I13:I22" si="1">SUM(D13*H13)</f>
        <v>102</v>
      </c>
      <c r="J13" s="132"/>
    </row>
    <row r="14" spans="1:11" s="107" customFormat="1">
      <c r="A14" s="126"/>
      <c r="B14" s="127" t="s">
        <v>96</v>
      </c>
      <c r="C14" s="128" t="s">
        <v>25</v>
      </c>
      <c r="D14" s="129">
        <v>1</v>
      </c>
      <c r="E14" s="128" t="s">
        <v>13</v>
      </c>
      <c r="F14" s="129">
        <v>450</v>
      </c>
      <c r="G14" s="130">
        <f t="shared" si="0"/>
        <v>450</v>
      </c>
      <c r="H14" s="129">
        <v>280</v>
      </c>
      <c r="I14" s="130">
        <f t="shared" si="1"/>
        <v>280</v>
      </c>
      <c r="J14" s="132"/>
    </row>
    <row r="15" spans="1:11" s="107" customFormat="1">
      <c r="A15" s="126"/>
      <c r="B15" s="127" t="s">
        <v>23</v>
      </c>
      <c r="C15" s="128" t="s">
        <v>24</v>
      </c>
      <c r="D15" s="129">
        <v>1</v>
      </c>
      <c r="E15" s="128" t="s">
        <v>15</v>
      </c>
      <c r="F15" s="129">
        <v>85</v>
      </c>
      <c r="G15" s="130">
        <f t="shared" si="0"/>
        <v>85</v>
      </c>
      <c r="H15" s="129"/>
      <c r="I15" s="130">
        <f t="shared" si="1"/>
        <v>0</v>
      </c>
      <c r="J15" s="132"/>
    </row>
    <row r="16" spans="1:11" s="107" customFormat="1">
      <c r="A16" s="126"/>
      <c r="B16" s="127" t="s">
        <v>16</v>
      </c>
      <c r="C16" s="128">
        <v>20</v>
      </c>
      <c r="D16" s="129">
        <v>2</v>
      </c>
      <c r="E16" s="128" t="s">
        <v>15</v>
      </c>
      <c r="F16" s="129">
        <v>74</v>
      </c>
      <c r="G16" s="135">
        <f t="shared" si="0"/>
        <v>148</v>
      </c>
      <c r="H16" s="129"/>
      <c r="I16" s="130">
        <f t="shared" si="1"/>
        <v>0</v>
      </c>
      <c r="J16" s="132"/>
    </row>
    <row r="17" spans="1:10" s="107" customFormat="1">
      <c r="A17" s="126"/>
      <c r="B17" s="127" t="s">
        <v>14</v>
      </c>
      <c r="C17" s="128" t="s">
        <v>20</v>
      </c>
      <c r="D17" s="129">
        <v>2</v>
      </c>
      <c r="E17" s="128" t="s">
        <v>15</v>
      </c>
      <c r="F17" s="129">
        <v>189</v>
      </c>
      <c r="G17" s="135">
        <f t="shared" si="0"/>
        <v>378</v>
      </c>
      <c r="H17" s="129"/>
      <c r="I17" s="130">
        <f t="shared" si="1"/>
        <v>0</v>
      </c>
      <c r="J17" s="132"/>
    </row>
    <row r="18" spans="1:10" s="107" customFormat="1">
      <c r="A18" s="126"/>
      <c r="B18" s="127" t="s">
        <v>19</v>
      </c>
      <c r="C18" s="128" t="s">
        <v>6</v>
      </c>
      <c r="D18" s="129">
        <v>1</v>
      </c>
      <c r="E18" s="128" t="s">
        <v>15</v>
      </c>
      <c r="F18" s="129">
        <v>68</v>
      </c>
      <c r="G18" s="130">
        <f t="shared" si="0"/>
        <v>68</v>
      </c>
      <c r="H18" s="129"/>
      <c r="I18" s="130">
        <f t="shared" si="1"/>
        <v>0</v>
      </c>
      <c r="J18" s="132"/>
    </row>
    <row r="19" spans="1:10" s="107" customFormat="1">
      <c r="A19" s="126"/>
      <c r="B19" s="127" t="s">
        <v>35</v>
      </c>
      <c r="C19" s="128" t="s">
        <v>20</v>
      </c>
      <c r="D19" s="129">
        <v>1</v>
      </c>
      <c r="E19" s="128" t="s">
        <v>15</v>
      </c>
      <c r="F19" s="129">
        <v>81</v>
      </c>
      <c r="G19" s="130">
        <f t="shared" si="0"/>
        <v>81</v>
      </c>
      <c r="H19" s="129"/>
      <c r="I19" s="130">
        <f t="shared" si="1"/>
        <v>0</v>
      </c>
      <c r="J19" s="132"/>
    </row>
    <row r="20" spans="1:10" s="107" customFormat="1">
      <c r="A20" s="126"/>
      <c r="B20" s="127" t="s">
        <v>17</v>
      </c>
      <c r="C20" s="128"/>
      <c r="D20" s="129">
        <v>1</v>
      </c>
      <c r="E20" s="128" t="s">
        <v>18</v>
      </c>
      <c r="F20" s="129">
        <v>12</v>
      </c>
      <c r="G20" s="130">
        <f>F20*D20</f>
        <v>12</v>
      </c>
      <c r="H20" s="129"/>
      <c r="I20" s="130">
        <f t="shared" si="1"/>
        <v>0</v>
      </c>
      <c r="J20" s="132"/>
    </row>
    <row r="21" spans="1:10" s="107" customFormat="1">
      <c r="A21" s="126"/>
      <c r="B21" s="127" t="s">
        <v>36</v>
      </c>
      <c r="C21" s="128"/>
      <c r="D21" s="129">
        <v>1</v>
      </c>
      <c r="E21" s="128" t="s">
        <v>13</v>
      </c>
      <c r="F21" s="129">
        <v>3</v>
      </c>
      <c r="G21" s="130">
        <f>F21*D21</f>
        <v>3</v>
      </c>
      <c r="H21" s="129"/>
      <c r="I21" s="130">
        <f t="shared" si="1"/>
        <v>0</v>
      </c>
      <c r="J21" s="132"/>
    </row>
    <row r="22" spans="1:10" s="107" customFormat="1">
      <c r="A22" s="126"/>
      <c r="B22" s="127" t="s">
        <v>77</v>
      </c>
      <c r="C22" s="128"/>
      <c r="D22" s="129">
        <v>1</v>
      </c>
      <c r="E22" s="128" t="s">
        <v>37</v>
      </c>
      <c r="F22" s="129">
        <v>540</v>
      </c>
      <c r="G22" s="130">
        <f>F22*D22</f>
        <v>540</v>
      </c>
      <c r="H22" s="129"/>
      <c r="I22" s="130">
        <f t="shared" si="1"/>
        <v>0</v>
      </c>
      <c r="J22" s="132"/>
    </row>
    <row r="23" spans="1:10" s="114" customFormat="1">
      <c r="A23" s="108"/>
      <c r="B23" s="109" t="s">
        <v>50</v>
      </c>
      <c r="C23" s="109"/>
      <c r="D23" s="109"/>
      <c r="E23" s="109"/>
      <c r="F23" s="110"/>
      <c r="G23" s="111">
        <f>SUM(G12:G22)</f>
        <v>2991</v>
      </c>
      <c r="H23" s="185"/>
      <c r="I23" s="133"/>
      <c r="J23" s="113"/>
    </row>
    <row r="24" spans="1:10" s="114" customFormat="1">
      <c r="A24" s="115"/>
      <c r="B24" s="116" t="s">
        <v>51</v>
      </c>
      <c r="C24" s="116"/>
      <c r="D24" s="116"/>
      <c r="E24" s="116"/>
      <c r="F24" s="117"/>
      <c r="G24" s="118">
        <v>0</v>
      </c>
      <c r="H24" s="119"/>
      <c r="I24" s="136"/>
      <c r="J24" s="120"/>
    </row>
    <row r="25" spans="1:10" s="114" customFormat="1">
      <c r="A25" s="121"/>
      <c r="B25" s="122" t="s">
        <v>54</v>
      </c>
      <c r="C25" s="275"/>
      <c r="D25" s="276"/>
      <c r="E25" s="276"/>
      <c r="F25" s="277"/>
      <c r="G25" s="123">
        <f>SUM(G23:G24)</f>
        <v>2991</v>
      </c>
      <c r="H25" s="124"/>
      <c r="I25" s="123">
        <f>SUM(I12:I24)</f>
        <v>446</v>
      </c>
      <c r="J25" s="125"/>
    </row>
    <row r="26" spans="1:10" s="107" customFormat="1">
      <c r="A26" s="254" t="s">
        <v>55</v>
      </c>
      <c r="B26" s="278"/>
      <c r="C26" s="278"/>
      <c r="D26" s="278"/>
      <c r="E26" s="278"/>
      <c r="F26" s="278"/>
      <c r="G26" s="278"/>
      <c r="H26" s="278"/>
      <c r="I26" s="278"/>
      <c r="J26" s="255"/>
    </row>
    <row r="27" spans="1:10" s="107" customFormat="1">
      <c r="A27" s="137"/>
      <c r="B27" s="138"/>
      <c r="C27" s="279" t="s">
        <v>53</v>
      </c>
      <c r="D27" s="280"/>
      <c r="E27" s="280"/>
      <c r="F27" s="280"/>
      <c r="G27" s="280"/>
      <c r="H27" s="280"/>
      <c r="I27" s="281"/>
      <c r="J27" s="139"/>
    </row>
    <row r="28" spans="1:10" s="114" customFormat="1">
      <c r="A28" s="108"/>
      <c r="B28" s="109" t="s">
        <v>50</v>
      </c>
      <c r="C28" s="109"/>
      <c r="D28" s="109"/>
      <c r="E28" s="109"/>
      <c r="F28" s="110"/>
      <c r="G28" s="140">
        <f>SUM(G27:G27)</f>
        <v>0</v>
      </c>
      <c r="H28" s="112"/>
      <c r="I28" s="112"/>
      <c r="J28" s="113"/>
    </row>
    <row r="29" spans="1:10" s="114" customFormat="1">
      <c r="A29" s="115"/>
      <c r="B29" s="116" t="s">
        <v>51</v>
      </c>
      <c r="C29" s="116"/>
      <c r="D29" s="116"/>
      <c r="E29" s="116"/>
      <c r="F29" s="117"/>
      <c r="G29" s="118">
        <f>G28*10%</f>
        <v>0</v>
      </c>
      <c r="H29" s="119"/>
      <c r="I29" s="119"/>
      <c r="J29" s="120"/>
    </row>
    <row r="30" spans="1:10" s="114" customFormat="1">
      <c r="A30" s="141"/>
      <c r="B30" s="122" t="s">
        <v>56</v>
      </c>
      <c r="C30" s="275"/>
      <c r="D30" s="276"/>
      <c r="E30" s="276"/>
      <c r="F30" s="277"/>
      <c r="G30" s="123">
        <f>SUM(G28:G29)</f>
        <v>0</v>
      </c>
      <c r="H30" s="124"/>
      <c r="I30" s="142">
        <f>SUM(I27:I29)</f>
        <v>0</v>
      </c>
      <c r="J30" s="143">
        <f>I30+G30</f>
        <v>0</v>
      </c>
    </row>
    <row r="31" spans="1:10" s="107" customFormat="1">
      <c r="A31" s="282" t="s">
        <v>57</v>
      </c>
      <c r="B31" s="283"/>
      <c r="C31" s="283"/>
      <c r="D31" s="283"/>
      <c r="E31" s="283"/>
      <c r="F31" s="283"/>
      <c r="G31" s="283"/>
      <c r="H31" s="283"/>
      <c r="I31" s="283"/>
      <c r="J31" s="284"/>
    </row>
    <row r="32" spans="1:10" s="107" customFormat="1">
      <c r="A32" s="137"/>
      <c r="B32" s="138"/>
      <c r="C32" s="279" t="s">
        <v>53</v>
      </c>
      <c r="D32" s="280"/>
      <c r="E32" s="280"/>
      <c r="F32" s="280"/>
      <c r="G32" s="280"/>
      <c r="H32" s="280"/>
      <c r="I32" s="281"/>
      <c r="J32" s="139"/>
    </row>
    <row r="33" spans="1:13" s="107" customFormat="1">
      <c r="A33" s="144"/>
      <c r="B33" s="145" t="s">
        <v>50</v>
      </c>
      <c r="C33" s="145"/>
      <c r="D33" s="145"/>
      <c r="E33" s="145"/>
      <c r="F33" s="130"/>
      <c r="G33" s="111">
        <f>SUM(G32:G32)</f>
        <v>0</v>
      </c>
      <c r="H33" s="146"/>
      <c r="I33" s="146"/>
      <c r="J33" s="147"/>
    </row>
    <row r="34" spans="1:13" s="107" customFormat="1">
      <c r="A34" s="148"/>
      <c r="B34" s="149" t="s">
        <v>51</v>
      </c>
      <c r="C34" s="149"/>
      <c r="D34" s="149"/>
      <c r="E34" s="149"/>
      <c r="F34" s="150"/>
      <c r="G34" s="151">
        <f>G33*10%</f>
        <v>0</v>
      </c>
      <c r="H34" s="152"/>
      <c r="I34" s="152"/>
      <c r="J34" s="153"/>
    </row>
    <row r="35" spans="1:13" s="107" customFormat="1">
      <c r="A35" s="154"/>
      <c r="B35" s="155" t="s">
        <v>58</v>
      </c>
      <c r="C35" s="285"/>
      <c r="D35" s="286"/>
      <c r="E35" s="286"/>
      <c r="F35" s="287"/>
      <c r="G35" s="156">
        <f>SUM(G33:G34)</f>
        <v>0</v>
      </c>
      <c r="H35" s="157"/>
      <c r="I35" s="158">
        <f>SUM(I32:I34)</f>
        <v>0</v>
      </c>
      <c r="J35" s="159">
        <f>I35+G35</f>
        <v>0</v>
      </c>
    </row>
    <row r="36" spans="1:13" s="114" customFormat="1">
      <c r="A36" s="288" t="s">
        <v>65</v>
      </c>
      <c r="B36" s="289"/>
      <c r="C36" s="290"/>
      <c r="D36" s="291"/>
      <c r="E36" s="291"/>
      <c r="F36" s="291"/>
      <c r="G36" s="291"/>
      <c r="H36" s="291"/>
      <c r="I36" s="292"/>
      <c r="J36" s="160">
        <v>3600</v>
      </c>
      <c r="K36" s="161"/>
      <c r="L36" s="172"/>
      <c r="M36" s="173"/>
    </row>
    <row r="37" spans="1:13" s="163" customFormat="1">
      <c r="A37" s="293" t="s">
        <v>59</v>
      </c>
      <c r="B37" s="294"/>
      <c r="C37" s="295"/>
      <c r="D37" s="296"/>
      <c r="E37" s="296"/>
      <c r="F37" s="296"/>
      <c r="G37" s="296"/>
      <c r="H37" s="296"/>
      <c r="I37" s="297"/>
      <c r="J37" s="162">
        <v>0</v>
      </c>
    </row>
    <row r="38" spans="1:13" s="107" customFormat="1">
      <c r="A38" s="268" t="s">
        <v>60</v>
      </c>
      <c r="B38" s="269"/>
      <c r="C38" s="164" t="s">
        <v>8</v>
      </c>
      <c r="D38" s="165" t="s">
        <v>8</v>
      </c>
      <c r="E38" s="166" t="s">
        <v>61</v>
      </c>
      <c r="F38" s="270">
        <v>0</v>
      </c>
      <c r="G38" s="271"/>
      <c r="H38" s="272">
        <v>0</v>
      </c>
      <c r="I38" s="273"/>
      <c r="J38" s="274"/>
    </row>
    <row r="39" spans="1:13" s="163" customFormat="1">
      <c r="A39" s="254" t="s">
        <v>62</v>
      </c>
      <c r="B39" s="255"/>
      <c r="C39" s="167" t="s">
        <v>6</v>
      </c>
      <c r="D39" s="168">
        <v>1</v>
      </c>
      <c r="E39" s="169" t="s">
        <v>7</v>
      </c>
      <c r="F39" s="256">
        <v>0</v>
      </c>
      <c r="G39" s="257"/>
      <c r="H39" s="257"/>
      <c r="I39" s="257"/>
      <c r="J39" s="258"/>
    </row>
    <row r="40" spans="1:13" s="163" customFormat="1" ht="24.75" thickBot="1">
      <c r="A40" s="259" t="s">
        <v>63</v>
      </c>
      <c r="B40" s="260"/>
      <c r="C40" s="261">
        <f>(J36+J37+H38+F39)</f>
        <v>3600</v>
      </c>
      <c r="D40" s="262"/>
      <c r="E40" s="262"/>
      <c r="F40" s="262"/>
      <c r="G40" s="262"/>
      <c r="H40" s="262"/>
      <c r="I40" s="262"/>
      <c r="J40" s="263"/>
      <c r="L40" s="174"/>
    </row>
    <row r="41" spans="1:13" s="163" customFormat="1" ht="24.75" thickBot="1">
      <c r="A41" s="264" t="str">
        <f>BAHTTEXT(C40)</f>
        <v>สามพันหกร้อยบาทถ้วน</v>
      </c>
      <c r="B41" s="265"/>
      <c r="C41" s="265"/>
      <c r="D41" s="265"/>
      <c r="E41" s="265"/>
      <c r="F41" s="265"/>
      <c r="G41" s="265"/>
      <c r="H41" s="265"/>
      <c r="I41" s="265"/>
      <c r="J41" s="266"/>
    </row>
    <row r="43" spans="1:13" s="171" customFormat="1">
      <c r="A43" s="267" t="s">
        <v>64</v>
      </c>
      <c r="B43" s="267"/>
      <c r="C43" s="170"/>
      <c r="D43" s="170"/>
      <c r="E43" s="253" t="s">
        <v>85</v>
      </c>
      <c r="F43" s="253"/>
      <c r="G43" s="253"/>
      <c r="H43" s="253"/>
      <c r="I43" s="253"/>
      <c r="J43" s="253"/>
      <c r="K43" s="170"/>
    </row>
    <row r="44" spans="1:13" s="171" customFormat="1">
      <c r="A44" s="253" t="s">
        <v>79</v>
      </c>
      <c r="B44" s="253"/>
      <c r="C44" s="170"/>
      <c r="D44" s="170"/>
      <c r="E44" s="253"/>
      <c r="F44" s="253"/>
      <c r="G44" s="253"/>
      <c r="H44" s="253"/>
      <c r="I44" s="253"/>
      <c r="J44" s="253"/>
      <c r="K44" s="170"/>
    </row>
    <row r="45" spans="1:13" s="171" customFormat="1">
      <c r="A45" s="253" t="s">
        <v>109</v>
      </c>
      <c r="B45" s="253"/>
      <c r="C45" s="170"/>
      <c r="D45" s="170"/>
      <c r="E45" s="253"/>
      <c r="F45" s="253"/>
      <c r="G45" s="253"/>
      <c r="H45" s="253"/>
      <c r="I45" s="253"/>
      <c r="J45" s="253"/>
      <c r="K45" s="170"/>
    </row>
    <row r="46" spans="1:13">
      <c r="E46" s="253"/>
      <c r="F46" s="253"/>
      <c r="G46" s="253"/>
      <c r="H46" s="253"/>
      <c r="I46" s="253"/>
      <c r="J46" s="253"/>
    </row>
  </sheetData>
  <mergeCells count="42"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  <mergeCell ref="A38:B38"/>
    <mergeCell ref="F38:G38"/>
    <mergeCell ref="H38:J38"/>
    <mergeCell ref="C25:F25"/>
    <mergeCell ref="A26:J26"/>
    <mergeCell ref="C27:I27"/>
    <mergeCell ref="C30:F30"/>
    <mergeCell ref="A31:J31"/>
    <mergeCell ref="C32:I32"/>
    <mergeCell ref="C35:F35"/>
    <mergeCell ref="A36:B36"/>
    <mergeCell ref="C36:I36"/>
    <mergeCell ref="A37:B37"/>
    <mergeCell ref="C37:I37"/>
    <mergeCell ref="E46:J46"/>
    <mergeCell ref="A44:B44"/>
    <mergeCell ref="A45:B45"/>
    <mergeCell ref="A39:B39"/>
    <mergeCell ref="F39:J39"/>
    <mergeCell ref="A40:B40"/>
    <mergeCell ref="C40:J40"/>
    <mergeCell ref="A41:J41"/>
    <mergeCell ref="A43:B43"/>
    <mergeCell ref="E43:J43"/>
    <mergeCell ref="E44:J44"/>
    <mergeCell ref="E45:J45"/>
  </mergeCells>
  <conditionalFormatting sqref="F39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8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ageMargins left="0.78740157480314965" right="3.937007874015748E-2" top="0.39370078740157483" bottom="3.937007874015748E-2" header="0.31496062992125984" footer="0.31496062992125984"/>
  <pageSetup paperSize="9" scale="70" orientation="portrait" horizontalDpi="4294967293" r:id="rId1"/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M45"/>
  <sheetViews>
    <sheetView view="pageBreakPreview" zoomScale="120" zoomScaleNormal="100" zoomScaleSheetLayoutView="120" workbookViewId="0">
      <selection activeCell="K2" sqref="K2"/>
    </sheetView>
  </sheetViews>
  <sheetFormatPr defaultColWidth="9" defaultRowHeight="24"/>
  <cols>
    <col min="1" max="1" width="5.75" style="99" customWidth="1"/>
    <col min="2" max="2" width="47.87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1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71" customFormat="1">
      <c r="A2" s="253" t="s">
        <v>34</v>
      </c>
      <c r="B2" s="253"/>
      <c r="C2" s="253" t="s">
        <v>167</v>
      </c>
      <c r="D2" s="253"/>
      <c r="E2" s="253"/>
      <c r="F2" s="253"/>
      <c r="G2" s="253"/>
      <c r="H2" s="299" t="s">
        <v>66</v>
      </c>
      <c r="I2" s="299"/>
      <c r="J2" s="299"/>
      <c r="K2" s="96"/>
    </row>
    <row r="3" spans="1:11" s="171" customFormat="1">
      <c r="A3" s="308" t="s">
        <v>169</v>
      </c>
      <c r="B3" s="308"/>
      <c r="C3" s="308"/>
      <c r="D3" s="308"/>
      <c r="E3" s="308"/>
      <c r="F3" s="308"/>
      <c r="G3" s="308"/>
      <c r="H3" s="308"/>
      <c r="I3" s="308"/>
      <c r="J3" s="308"/>
      <c r="K3" s="95"/>
    </row>
    <row r="4" spans="1:11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1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1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1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92">
        <v>1003</v>
      </c>
      <c r="G7" s="105">
        <f>D7*F7</f>
        <v>1003</v>
      </c>
      <c r="H7" s="105">
        <v>100</v>
      </c>
      <c r="I7" s="105">
        <f>D7*H7</f>
        <v>100</v>
      </c>
      <c r="J7" s="106"/>
    </row>
    <row r="8" spans="1:11" s="114" customFormat="1">
      <c r="A8" s="108"/>
      <c r="B8" s="109" t="s">
        <v>50</v>
      </c>
      <c r="C8" s="109"/>
      <c r="D8" s="109"/>
      <c r="E8" s="109"/>
      <c r="F8" s="110"/>
      <c r="G8" s="111">
        <f>SUM(G7)</f>
        <v>1003</v>
      </c>
      <c r="H8" s="112"/>
      <c r="I8" s="112"/>
      <c r="J8" s="113"/>
    </row>
    <row r="9" spans="1:11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</row>
    <row r="10" spans="1:11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1003</v>
      </c>
      <c r="H10" s="124"/>
      <c r="I10" s="123">
        <f>SUM(I7:I9)</f>
        <v>100</v>
      </c>
      <c r="J10" s="125"/>
    </row>
    <row r="11" spans="1:11">
      <c r="A11" s="282" t="s">
        <v>52</v>
      </c>
      <c r="B11" s="283"/>
      <c r="C11" s="283"/>
      <c r="D11" s="283"/>
      <c r="E11" s="283"/>
      <c r="F11" s="283"/>
      <c r="G11" s="283"/>
      <c r="H11" s="283"/>
      <c r="I11" s="283"/>
      <c r="J11" s="284"/>
    </row>
    <row r="12" spans="1:11" s="107" customFormat="1">
      <c r="A12" s="126"/>
      <c r="B12" s="127" t="s">
        <v>9</v>
      </c>
      <c r="C12" s="128">
        <v>20</v>
      </c>
      <c r="D12" s="129">
        <v>8</v>
      </c>
      <c r="E12" s="128" t="s">
        <v>10</v>
      </c>
      <c r="F12" s="129">
        <v>43</v>
      </c>
      <c r="G12" s="130">
        <f t="shared" ref="G12:G19" si="0">F12*D12</f>
        <v>344</v>
      </c>
      <c r="H12" s="131">
        <v>8</v>
      </c>
      <c r="I12" s="131">
        <f>SUM(D12*H12)</f>
        <v>64</v>
      </c>
      <c r="J12" s="132"/>
    </row>
    <row r="13" spans="1:11" s="107" customFormat="1">
      <c r="A13" s="126"/>
      <c r="B13" s="127" t="s">
        <v>70</v>
      </c>
      <c r="C13" s="128" t="s">
        <v>71</v>
      </c>
      <c r="D13" s="129">
        <v>6</v>
      </c>
      <c r="E13" s="128" t="s">
        <v>10</v>
      </c>
      <c r="F13" s="129">
        <v>149</v>
      </c>
      <c r="G13" s="130">
        <f t="shared" si="0"/>
        <v>894</v>
      </c>
      <c r="H13" s="183">
        <v>17</v>
      </c>
      <c r="I13" s="184">
        <f>SUM(D13*H13)</f>
        <v>102</v>
      </c>
      <c r="J13" s="132"/>
    </row>
    <row r="14" spans="1:11" s="19" customFormat="1">
      <c r="A14" s="126"/>
      <c r="B14" s="127" t="s">
        <v>11</v>
      </c>
      <c r="C14" s="128" t="s">
        <v>12</v>
      </c>
      <c r="D14" s="129">
        <v>1</v>
      </c>
      <c r="E14" s="128" t="s">
        <v>13</v>
      </c>
      <c r="F14" s="129">
        <v>239</v>
      </c>
      <c r="G14" s="130">
        <f t="shared" si="0"/>
        <v>239</v>
      </c>
      <c r="H14" s="183">
        <v>0</v>
      </c>
      <c r="I14" s="184">
        <v>0</v>
      </c>
      <c r="J14" s="132"/>
      <c r="K14" s="107"/>
    </row>
    <row r="15" spans="1:11" s="19" customFormat="1">
      <c r="A15" s="126"/>
      <c r="B15" s="127" t="s">
        <v>16</v>
      </c>
      <c r="C15" s="128">
        <v>20</v>
      </c>
      <c r="D15" s="129">
        <v>2</v>
      </c>
      <c r="E15" s="128" t="s">
        <v>15</v>
      </c>
      <c r="F15" s="129">
        <v>74</v>
      </c>
      <c r="G15" s="130">
        <f t="shared" si="0"/>
        <v>148</v>
      </c>
      <c r="H15" s="183">
        <v>0</v>
      </c>
      <c r="I15" s="105">
        <f t="shared" ref="I15:I20" si="1">D15*H15</f>
        <v>0</v>
      </c>
      <c r="J15" s="132"/>
      <c r="K15" s="107"/>
    </row>
    <row r="16" spans="1:11" s="19" customFormat="1">
      <c r="A16" s="126"/>
      <c r="B16" s="127" t="s">
        <v>97</v>
      </c>
      <c r="C16" s="128" t="s">
        <v>6</v>
      </c>
      <c r="D16" s="129">
        <v>2</v>
      </c>
      <c r="E16" s="128" t="s">
        <v>15</v>
      </c>
      <c r="F16" s="129">
        <v>189</v>
      </c>
      <c r="G16" s="130">
        <f t="shared" si="0"/>
        <v>378</v>
      </c>
      <c r="H16" s="183">
        <v>0</v>
      </c>
      <c r="I16" s="105">
        <f t="shared" si="1"/>
        <v>0</v>
      </c>
      <c r="J16" s="132"/>
      <c r="K16" s="107"/>
    </row>
    <row r="17" spans="1:12" s="19" customFormat="1">
      <c r="A17" s="126"/>
      <c r="B17" s="127" t="s">
        <v>19</v>
      </c>
      <c r="C17" s="128" t="s">
        <v>6</v>
      </c>
      <c r="D17" s="129">
        <v>1</v>
      </c>
      <c r="E17" s="128" t="s">
        <v>15</v>
      </c>
      <c r="F17" s="129">
        <v>68</v>
      </c>
      <c r="G17" s="130">
        <f t="shared" si="0"/>
        <v>68</v>
      </c>
      <c r="H17" s="183">
        <v>0</v>
      </c>
      <c r="I17" s="105">
        <f t="shared" si="1"/>
        <v>0</v>
      </c>
      <c r="J17" s="132"/>
      <c r="K17" s="107"/>
    </row>
    <row r="18" spans="1:12" s="19" customFormat="1">
      <c r="A18" s="126"/>
      <c r="B18" s="127" t="s">
        <v>35</v>
      </c>
      <c r="C18" s="128" t="s">
        <v>20</v>
      </c>
      <c r="D18" s="129">
        <v>1</v>
      </c>
      <c r="E18" s="128" t="s">
        <v>15</v>
      </c>
      <c r="F18" s="129">
        <v>81</v>
      </c>
      <c r="G18" s="130">
        <f t="shared" si="0"/>
        <v>81</v>
      </c>
      <c r="H18" s="184">
        <v>0</v>
      </c>
      <c r="I18" s="105">
        <f t="shared" si="1"/>
        <v>0</v>
      </c>
      <c r="J18" s="132"/>
      <c r="K18" s="107"/>
    </row>
    <row r="19" spans="1:12" s="19" customFormat="1">
      <c r="A19" s="126"/>
      <c r="B19" s="127" t="s">
        <v>36</v>
      </c>
      <c r="C19" s="128"/>
      <c r="D19" s="129">
        <v>1</v>
      </c>
      <c r="E19" s="128" t="s">
        <v>13</v>
      </c>
      <c r="F19" s="129">
        <v>3</v>
      </c>
      <c r="G19" s="130">
        <f t="shared" si="0"/>
        <v>3</v>
      </c>
      <c r="H19" s="183">
        <v>0</v>
      </c>
      <c r="I19" s="105">
        <f t="shared" si="1"/>
        <v>0</v>
      </c>
      <c r="J19" s="132"/>
      <c r="K19" s="107"/>
    </row>
    <row r="20" spans="1:12" s="19" customFormat="1">
      <c r="A20" s="126"/>
      <c r="B20" s="127" t="s">
        <v>158</v>
      </c>
      <c r="C20" s="128"/>
      <c r="D20" s="129">
        <v>1</v>
      </c>
      <c r="E20" s="128" t="s">
        <v>37</v>
      </c>
      <c r="F20" s="129">
        <v>540</v>
      </c>
      <c r="G20" s="135">
        <f>F20*D20</f>
        <v>540</v>
      </c>
      <c r="H20" s="183">
        <v>0</v>
      </c>
      <c r="I20" s="105">
        <f t="shared" si="1"/>
        <v>0</v>
      </c>
      <c r="J20" s="132"/>
      <c r="K20" s="107"/>
    </row>
    <row r="21" spans="1:12" s="114" customFormat="1">
      <c r="A21" s="108"/>
      <c r="B21" s="109" t="s">
        <v>50</v>
      </c>
      <c r="C21" s="109"/>
      <c r="D21" s="109"/>
      <c r="E21" s="109"/>
      <c r="F21" s="110"/>
      <c r="G21" s="111">
        <f>SUM(G12:G20)</f>
        <v>2695</v>
      </c>
      <c r="H21" s="133"/>
      <c r="I21" s="133"/>
      <c r="J21" s="113"/>
      <c r="L21" s="107"/>
    </row>
    <row r="22" spans="1:12" s="114" customFormat="1">
      <c r="A22" s="115"/>
      <c r="B22" s="116" t="s">
        <v>51</v>
      </c>
      <c r="C22" s="116"/>
      <c r="D22" s="116"/>
      <c r="E22" s="116"/>
      <c r="F22" s="117"/>
      <c r="G22" s="118">
        <v>0</v>
      </c>
      <c r="H22" s="119"/>
      <c r="I22" s="136"/>
      <c r="J22" s="120"/>
    </row>
    <row r="23" spans="1:12" s="114" customFormat="1">
      <c r="A23" s="121"/>
      <c r="B23" s="122" t="s">
        <v>54</v>
      </c>
      <c r="C23" s="275"/>
      <c r="D23" s="276"/>
      <c r="E23" s="276"/>
      <c r="F23" s="277"/>
      <c r="G23" s="123">
        <f>SUM(G21:G22)</f>
        <v>2695</v>
      </c>
      <c r="H23" s="124"/>
      <c r="I23" s="123">
        <f>SUM(I12:I22)</f>
        <v>166</v>
      </c>
      <c r="J23" s="125"/>
    </row>
    <row r="24" spans="1:12" s="107" customFormat="1">
      <c r="A24" s="254" t="s">
        <v>55</v>
      </c>
      <c r="B24" s="278"/>
      <c r="C24" s="278"/>
      <c r="D24" s="278"/>
      <c r="E24" s="278"/>
      <c r="F24" s="278"/>
      <c r="G24" s="278"/>
      <c r="H24" s="278"/>
      <c r="I24" s="278"/>
      <c r="J24" s="255"/>
    </row>
    <row r="25" spans="1:12" s="107" customFormat="1">
      <c r="A25" s="137"/>
      <c r="B25" s="138"/>
      <c r="C25" s="279" t="s">
        <v>53</v>
      </c>
      <c r="D25" s="280"/>
      <c r="E25" s="280"/>
      <c r="F25" s="280"/>
      <c r="G25" s="280"/>
      <c r="H25" s="280"/>
      <c r="I25" s="281"/>
      <c r="J25" s="139"/>
    </row>
    <row r="26" spans="1:12" s="114" customFormat="1">
      <c r="A26" s="108"/>
      <c r="B26" s="109" t="s">
        <v>50</v>
      </c>
      <c r="C26" s="109"/>
      <c r="D26" s="109"/>
      <c r="E26" s="109"/>
      <c r="F26" s="110"/>
      <c r="G26" s="140">
        <f>SUM(G25:G25)</f>
        <v>0</v>
      </c>
      <c r="H26" s="112"/>
      <c r="I26" s="112"/>
      <c r="J26" s="113"/>
    </row>
    <row r="27" spans="1:12" s="114" customFormat="1">
      <c r="A27" s="115"/>
      <c r="B27" s="116" t="s">
        <v>51</v>
      </c>
      <c r="C27" s="116"/>
      <c r="D27" s="116"/>
      <c r="E27" s="116"/>
      <c r="F27" s="117"/>
      <c r="G27" s="118">
        <f>G26*10%</f>
        <v>0</v>
      </c>
      <c r="H27" s="119"/>
      <c r="I27" s="119"/>
      <c r="J27" s="120"/>
    </row>
    <row r="28" spans="1:12" s="114" customFormat="1">
      <c r="A28" s="141"/>
      <c r="B28" s="122" t="s">
        <v>56</v>
      </c>
      <c r="C28" s="275"/>
      <c r="D28" s="276"/>
      <c r="E28" s="276"/>
      <c r="F28" s="277"/>
      <c r="G28" s="123">
        <f>SUM(G26:G27)</f>
        <v>0</v>
      </c>
      <c r="H28" s="124"/>
      <c r="I28" s="142">
        <f>SUM(I25:I27)</f>
        <v>0</v>
      </c>
      <c r="J28" s="143">
        <f>I28+G28</f>
        <v>0</v>
      </c>
    </row>
    <row r="29" spans="1:12" s="107" customFormat="1">
      <c r="A29" s="282" t="s">
        <v>57</v>
      </c>
      <c r="B29" s="283"/>
      <c r="C29" s="283"/>
      <c r="D29" s="283"/>
      <c r="E29" s="283"/>
      <c r="F29" s="283"/>
      <c r="G29" s="283"/>
      <c r="H29" s="283"/>
      <c r="I29" s="283"/>
      <c r="J29" s="284"/>
    </row>
    <row r="30" spans="1:12" s="107" customFormat="1">
      <c r="A30" s="137"/>
      <c r="B30" s="138"/>
      <c r="C30" s="279" t="s">
        <v>53</v>
      </c>
      <c r="D30" s="280"/>
      <c r="E30" s="280"/>
      <c r="F30" s="280"/>
      <c r="G30" s="280"/>
      <c r="H30" s="280"/>
      <c r="I30" s="281"/>
      <c r="J30" s="139"/>
    </row>
    <row r="31" spans="1:12" s="107" customFormat="1">
      <c r="A31" s="144"/>
      <c r="B31" s="145" t="s">
        <v>50</v>
      </c>
      <c r="C31" s="145"/>
      <c r="D31" s="145"/>
      <c r="E31" s="145"/>
      <c r="F31" s="130"/>
      <c r="G31" s="111">
        <f>SUM(G30:G30)</f>
        <v>0</v>
      </c>
      <c r="H31" s="146"/>
      <c r="I31" s="146"/>
      <c r="J31" s="147"/>
    </row>
    <row r="32" spans="1:12" s="107" customFormat="1">
      <c r="A32" s="148"/>
      <c r="B32" s="149" t="s">
        <v>51</v>
      </c>
      <c r="C32" s="149"/>
      <c r="D32" s="149"/>
      <c r="E32" s="149"/>
      <c r="F32" s="150"/>
      <c r="G32" s="151">
        <f>G31*10%</f>
        <v>0</v>
      </c>
      <c r="H32" s="152"/>
      <c r="I32" s="152"/>
      <c r="J32" s="153"/>
    </row>
    <row r="33" spans="1:13" s="107" customFormat="1">
      <c r="A33" s="154"/>
      <c r="B33" s="155" t="s">
        <v>58</v>
      </c>
      <c r="C33" s="285"/>
      <c r="D33" s="286"/>
      <c r="E33" s="286"/>
      <c r="F33" s="287"/>
      <c r="G33" s="156">
        <f>SUM(G31:G32)</f>
        <v>0</v>
      </c>
      <c r="H33" s="157"/>
      <c r="I33" s="158">
        <f>SUM(I30:I32)</f>
        <v>0</v>
      </c>
      <c r="J33" s="159">
        <f>I33+G33</f>
        <v>0</v>
      </c>
    </row>
    <row r="34" spans="1:13" s="114" customFormat="1">
      <c r="A34" s="309" t="s">
        <v>65</v>
      </c>
      <c r="B34" s="310"/>
      <c r="C34" s="290"/>
      <c r="D34" s="291"/>
      <c r="E34" s="291"/>
      <c r="F34" s="291"/>
      <c r="G34" s="291"/>
      <c r="H34" s="291"/>
      <c r="I34" s="292"/>
      <c r="J34" s="160">
        <v>3600</v>
      </c>
      <c r="K34" s="161"/>
      <c r="L34" s="172"/>
      <c r="M34" s="173"/>
    </row>
    <row r="35" spans="1:13" s="163" customFormat="1">
      <c r="A35" s="293" t="s">
        <v>59</v>
      </c>
      <c r="B35" s="294"/>
      <c r="C35" s="295"/>
      <c r="D35" s="296"/>
      <c r="E35" s="296"/>
      <c r="F35" s="296"/>
      <c r="G35" s="296"/>
      <c r="H35" s="296"/>
      <c r="I35" s="297"/>
      <c r="J35" s="162">
        <v>0</v>
      </c>
    </row>
    <row r="36" spans="1:13" s="107" customFormat="1">
      <c r="A36" s="268" t="s">
        <v>60</v>
      </c>
      <c r="B36" s="269"/>
      <c r="C36" s="164" t="s">
        <v>8</v>
      </c>
      <c r="D36" s="165" t="s">
        <v>8</v>
      </c>
      <c r="E36" s="166" t="s">
        <v>61</v>
      </c>
      <c r="F36" s="270">
        <v>0</v>
      </c>
      <c r="G36" s="271"/>
      <c r="H36" s="272">
        <v>0</v>
      </c>
      <c r="I36" s="273"/>
      <c r="J36" s="274"/>
    </row>
    <row r="37" spans="1:13" s="163" customFormat="1">
      <c r="A37" s="254" t="s">
        <v>62</v>
      </c>
      <c r="B37" s="255"/>
      <c r="C37" s="167" t="s">
        <v>6</v>
      </c>
      <c r="D37" s="168">
        <v>1</v>
      </c>
      <c r="E37" s="169" t="s">
        <v>7</v>
      </c>
      <c r="F37" s="256">
        <v>0</v>
      </c>
      <c r="G37" s="257"/>
      <c r="H37" s="257"/>
      <c r="I37" s="257"/>
      <c r="J37" s="258"/>
    </row>
    <row r="38" spans="1:13" s="163" customFormat="1" ht="24.75" thickBot="1">
      <c r="A38" s="259" t="s">
        <v>63</v>
      </c>
      <c r="B38" s="260"/>
      <c r="C38" s="261">
        <f>(J34+J35+H36+F37)</f>
        <v>3600</v>
      </c>
      <c r="D38" s="262"/>
      <c r="E38" s="262"/>
      <c r="F38" s="262"/>
      <c r="G38" s="262"/>
      <c r="H38" s="262"/>
      <c r="I38" s="262"/>
      <c r="J38" s="263"/>
      <c r="L38" s="174"/>
    </row>
    <row r="39" spans="1:13" s="163" customFormat="1" ht="24.75" thickBot="1">
      <c r="A39" s="264" t="str">
        <f>BAHTTEXT(C38)</f>
        <v>สามพันหกร้อยบาทถ้วน</v>
      </c>
      <c r="B39" s="265"/>
      <c r="C39" s="265"/>
      <c r="D39" s="265"/>
      <c r="E39" s="265"/>
      <c r="F39" s="265"/>
      <c r="G39" s="265"/>
      <c r="H39" s="265"/>
      <c r="I39" s="265"/>
      <c r="J39" s="266"/>
    </row>
    <row r="42" spans="1:13" s="171" customFormat="1">
      <c r="A42" s="267" t="s">
        <v>64</v>
      </c>
      <c r="B42" s="267"/>
      <c r="C42" s="170"/>
      <c r="D42" s="170"/>
      <c r="E42" s="253" t="s">
        <v>153</v>
      </c>
      <c r="F42" s="253"/>
      <c r="G42" s="253"/>
      <c r="H42" s="253"/>
      <c r="I42" s="253"/>
      <c r="J42" s="253"/>
      <c r="K42" s="170"/>
    </row>
    <row r="43" spans="1:13" s="171" customFormat="1">
      <c r="A43" s="253" t="s">
        <v>79</v>
      </c>
      <c r="B43" s="253"/>
      <c r="C43" s="170"/>
      <c r="D43" s="170"/>
      <c r="E43" s="253" t="s">
        <v>154</v>
      </c>
      <c r="F43" s="253"/>
      <c r="G43" s="253"/>
      <c r="H43" s="253"/>
      <c r="I43" s="253"/>
      <c r="J43" s="253"/>
      <c r="K43" s="170"/>
    </row>
    <row r="44" spans="1:13" s="171" customFormat="1">
      <c r="A44" s="253" t="s">
        <v>151</v>
      </c>
      <c r="B44" s="253"/>
      <c r="C44" s="170"/>
      <c r="D44" s="170"/>
      <c r="E44" s="253" t="s">
        <v>126</v>
      </c>
      <c r="F44" s="253"/>
      <c r="G44" s="253"/>
      <c r="H44" s="253"/>
      <c r="I44" s="253"/>
      <c r="J44" s="253"/>
      <c r="K44" s="170"/>
    </row>
    <row r="45" spans="1:13">
      <c r="E45" s="253"/>
      <c r="F45" s="253"/>
      <c r="G45" s="253"/>
      <c r="H45" s="253"/>
      <c r="I45" s="253"/>
      <c r="J45" s="253"/>
    </row>
  </sheetData>
  <mergeCells count="42">
    <mergeCell ref="A44:B44"/>
    <mergeCell ref="E43:J43"/>
    <mergeCell ref="E44:J44"/>
    <mergeCell ref="E45:J45"/>
    <mergeCell ref="A36:B36"/>
    <mergeCell ref="F36:G36"/>
    <mergeCell ref="H36:J36"/>
    <mergeCell ref="A43:B43"/>
    <mergeCell ref="A37:B37"/>
    <mergeCell ref="F37:J37"/>
    <mergeCell ref="A38:B38"/>
    <mergeCell ref="C38:J38"/>
    <mergeCell ref="A39:J39"/>
    <mergeCell ref="A42:B42"/>
    <mergeCell ref="E42:J42"/>
    <mergeCell ref="C23:F23"/>
    <mergeCell ref="A24:J24"/>
    <mergeCell ref="C25:I25"/>
    <mergeCell ref="C28:F28"/>
    <mergeCell ref="A29:J29"/>
    <mergeCell ref="C30:I30"/>
    <mergeCell ref="C33:F33"/>
    <mergeCell ref="A34:B34"/>
    <mergeCell ref="C34:I34"/>
    <mergeCell ref="A35:B35"/>
    <mergeCell ref="C35:I35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</mergeCells>
  <conditionalFormatting sqref="F37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6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ageMargins left="0.78740157480314965" right="3.937007874015748E-2" top="0.55118110236220474" bottom="3.937007874015748E-2" header="0.31496062992125984" footer="0.31496062992125984"/>
  <pageSetup paperSize="9" scale="70" orientation="portrait" r:id="rId1"/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M45"/>
  <sheetViews>
    <sheetView zoomScale="110" zoomScaleNormal="110" workbookViewId="0">
      <selection activeCell="A44" sqref="A44:B44"/>
    </sheetView>
  </sheetViews>
  <sheetFormatPr defaultColWidth="9" defaultRowHeight="21"/>
  <cols>
    <col min="1" max="1" width="5.75" style="14" customWidth="1"/>
    <col min="2" max="2" width="44.625" style="14" customWidth="1"/>
    <col min="3" max="3" width="8.625" style="14" customWidth="1"/>
    <col min="4" max="6" width="7.625" style="14" customWidth="1"/>
    <col min="7" max="7" width="8.625" style="14" customWidth="1"/>
    <col min="8" max="8" width="7.625" style="14" customWidth="1"/>
    <col min="9" max="9" width="8.625" style="14" customWidth="1"/>
    <col min="10" max="10" width="9.625" style="14" customWidth="1"/>
    <col min="11" max="16384" width="9" style="14"/>
  </cols>
  <sheetData>
    <row r="1" spans="1:11" s="1" customFormat="1" ht="23.25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10"/>
    </row>
    <row r="2" spans="1:11" s="1" customFormat="1">
      <c r="A2" s="198" t="s">
        <v>34</v>
      </c>
      <c r="B2" s="198"/>
      <c r="C2" s="198" t="s">
        <v>81</v>
      </c>
      <c r="D2" s="198"/>
      <c r="E2" s="198"/>
      <c r="F2" s="198"/>
      <c r="G2" s="198"/>
      <c r="H2" s="244" t="s">
        <v>66</v>
      </c>
      <c r="I2" s="244"/>
      <c r="J2" s="244"/>
      <c r="K2" s="89"/>
    </row>
    <row r="3" spans="1:11" s="1" customFormat="1">
      <c r="A3" s="311" t="s">
        <v>82</v>
      </c>
      <c r="B3" s="311"/>
      <c r="C3" s="311"/>
      <c r="D3" s="311"/>
      <c r="E3" s="311"/>
      <c r="F3" s="311"/>
      <c r="G3" s="311"/>
      <c r="H3" s="311"/>
      <c r="I3" s="311"/>
      <c r="J3" s="311"/>
      <c r="K3" s="9"/>
    </row>
    <row r="4" spans="1:11" s="12" customFormat="1">
      <c r="A4" s="246" t="s">
        <v>43</v>
      </c>
      <c r="B4" s="246" t="s">
        <v>1</v>
      </c>
      <c r="C4" s="246" t="s">
        <v>2</v>
      </c>
      <c r="D4" s="246" t="s">
        <v>3</v>
      </c>
      <c r="E4" s="246" t="s">
        <v>4</v>
      </c>
      <c r="F4" s="249" t="s">
        <v>44</v>
      </c>
      <c r="G4" s="250"/>
      <c r="H4" s="249" t="s">
        <v>45</v>
      </c>
      <c r="I4" s="250"/>
      <c r="J4" s="251" t="s">
        <v>5</v>
      </c>
    </row>
    <row r="5" spans="1:11" s="12" customFormat="1">
      <c r="A5" s="247"/>
      <c r="B5" s="247"/>
      <c r="C5" s="248"/>
      <c r="D5" s="248"/>
      <c r="E5" s="248"/>
      <c r="F5" s="13" t="s">
        <v>46</v>
      </c>
      <c r="G5" s="13" t="s">
        <v>47</v>
      </c>
      <c r="H5" s="13" t="s">
        <v>46</v>
      </c>
      <c r="I5" s="13" t="s">
        <v>47</v>
      </c>
      <c r="J5" s="252"/>
    </row>
    <row r="6" spans="1:11">
      <c r="A6" s="227" t="s">
        <v>48</v>
      </c>
      <c r="B6" s="228"/>
      <c r="C6" s="228"/>
      <c r="D6" s="228"/>
      <c r="E6" s="228"/>
      <c r="F6" s="228"/>
      <c r="G6" s="228"/>
      <c r="H6" s="228"/>
      <c r="I6" s="228"/>
      <c r="J6" s="229"/>
    </row>
    <row r="7" spans="1:11" s="19" customFormat="1">
      <c r="A7" s="2"/>
      <c r="B7" s="3" t="s">
        <v>49</v>
      </c>
      <c r="C7" s="15" t="s">
        <v>6</v>
      </c>
      <c r="D7" s="15">
        <v>1</v>
      </c>
      <c r="E7" s="16" t="s">
        <v>7</v>
      </c>
      <c r="F7" s="4">
        <v>932</v>
      </c>
      <c r="G7" s="17">
        <f>D7*F7</f>
        <v>932</v>
      </c>
      <c r="H7" s="17">
        <v>100</v>
      </c>
      <c r="I7" s="17">
        <f>D7*H7</f>
        <v>100</v>
      </c>
      <c r="J7" s="18"/>
    </row>
    <row r="8" spans="1:11" s="26" customFormat="1">
      <c r="A8" s="20"/>
      <c r="B8" s="21" t="s">
        <v>50</v>
      </c>
      <c r="C8" s="21"/>
      <c r="D8" s="21"/>
      <c r="E8" s="21"/>
      <c r="F8" s="22"/>
      <c r="G8" s="23">
        <f>SUM(G7:G7)</f>
        <v>932</v>
      </c>
      <c r="H8" s="24"/>
      <c r="I8" s="24"/>
      <c r="J8" s="25"/>
    </row>
    <row r="9" spans="1:11" s="26" customFormat="1">
      <c r="A9" s="27"/>
      <c r="B9" s="28" t="s">
        <v>51</v>
      </c>
      <c r="C9" s="28"/>
      <c r="D9" s="28"/>
      <c r="E9" s="28"/>
      <c r="F9" s="29"/>
      <c r="G9" s="30">
        <v>0</v>
      </c>
      <c r="H9" s="31"/>
      <c r="I9" s="31"/>
      <c r="J9" s="32"/>
    </row>
    <row r="10" spans="1:11" s="26" customFormat="1">
      <c r="A10" s="33"/>
      <c r="B10" s="34" t="s">
        <v>21</v>
      </c>
      <c r="C10" s="213"/>
      <c r="D10" s="214"/>
      <c r="E10" s="214"/>
      <c r="F10" s="215"/>
      <c r="G10" s="35">
        <f>SUM(G8:G9)</f>
        <v>932</v>
      </c>
      <c r="H10" s="36"/>
      <c r="I10" s="35">
        <f>SUM(I7:I9)</f>
        <v>100</v>
      </c>
      <c r="J10" s="37"/>
    </row>
    <row r="11" spans="1:11">
      <c r="A11" s="227" t="s">
        <v>52</v>
      </c>
      <c r="B11" s="228"/>
      <c r="C11" s="228"/>
      <c r="D11" s="228"/>
      <c r="E11" s="228"/>
      <c r="F11" s="228"/>
      <c r="G11" s="228"/>
      <c r="H11" s="228"/>
      <c r="I11" s="228"/>
      <c r="J11" s="229"/>
    </row>
    <row r="12" spans="1:11" s="19" customFormat="1">
      <c r="A12" s="41"/>
      <c r="B12" s="5" t="s">
        <v>9</v>
      </c>
      <c r="C12" s="6">
        <v>20</v>
      </c>
      <c r="D12" s="7">
        <v>1</v>
      </c>
      <c r="E12" s="6" t="s">
        <v>10</v>
      </c>
      <c r="F12" s="7">
        <v>39</v>
      </c>
      <c r="G12" s="42">
        <f t="shared" ref="G12:G20" si="0">F12*D12</f>
        <v>39</v>
      </c>
      <c r="H12" s="90">
        <v>8</v>
      </c>
      <c r="I12" s="17">
        <f>D12*H12</f>
        <v>8</v>
      </c>
      <c r="J12" s="43"/>
    </row>
    <row r="13" spans="1:11" s="19" customFormat="1">
      <c r="A13" s="41"/>
      <c r="B13" s="5" t="s">
        <v>11</v>
      </c>
      <c r="C13" s="6" t="s">
        <v>22</v>
      </c>
      <c r="D13" s="7">
        <v>1</v>
      </c>
      <c r="E13" s="6" t="s">
        <v>13</v>
      </c>
      <c r="F13" s="7">
        <v>237</v>
      </c>
      <c r="G13" s="42">
        <f t="shared" si="0"/>
        <v>237</v>
      </c>
      <c r="H13" s="79">
        <v>0</v>
      </c>
      <c r="I13" s="80">
        <v>0</v>
      </c>
      <c r="J13" s="43"/>
    </row>
    <row r="14" spans="1:11" s="19" customFormat="1">
      <c r="A14" s="41"/>
      <c r="B14" s="5" t="s">
        <v>23</v>
      </c>
      <c r="C14" s="6" t="s">
        <v>24</v>
      </c>
      <c r="D14" s="7">
        <v>1</v>
      </c>
      <c r="E14" s="6" t="s">
        <v>15</v>
      </c>
      <c r="F14" s="7">
        <v>81</v>
      </c>
      <c r="G14" s="42">
        <f t="shared" si="0"/>
        <v>81</v>
      </c>
      <c r="H14" s="79">
        <v>0</v>
      </c>
      <c r="I14" s="80">
        <v>0</v>
      </c>
      <c r="J14" s="43"/>
    </row>
    <row r="15" spans="1:11" s="19" customFormat="1">
      <c r="A15" s="41"/>
      <c r="B15" s="5" t="s">
        <v>16</v>
      </c>
      <c r="C15" s="6">
        <v>20</v>
      </c>
      <c r="D15" s="7">
        <v>2</v>
      </c>
      <c r="E15" s="6" t="s">
        <v>15</v>
      </c>
      <c r="F15" s="7">
        <v>70</v>
      </c>
      <c r="G15" s="42">
        <f t="shared" si="0"/>
        <v>140</v>
      </c>
      <c r="H15" s="79">
        <v>0</v>
      </c>
      <c r="I15" s="80">
        <v>0</v>
      </c>
      <c r="J15" s="43"/>
    </row>
    <row r="16" spans="1:11" s="19" customFormat="1">
      <c r="A16" s="41"/>
      <c r="B16" s="5" t="s">
        <v>14</v>
      </c>
      <c r="C16" s="6" t="s">
        <v>6</v>
      </c>
      <c r="D16" s="7">
        <v>2</v>
      </c>
      <c r="E16" s="6" t="s">
        <v>15</v>
      </c>
      <c r="F16" s="7">
        <v>175</v>
      </c>
      <c r="G16" s="42">
        <f t="shared" si="0"/>
        <v>350</v>
      </c>
      <c r="H16" s="79">
        <v>0</v>
      </c>
      <c r="I16" s="82">
        <v>0</v>
      </c>
      <c r="J16" s="43"/>
    </row>
    <row r="17" spans="1:10" s="19" customFormat="1">
      <c r="A17" s="41"/>
      <c r="B17" s="5" t="s">
        <v>19</v>
      </c>
      <c r="C17" s="6" t="s">
        <v>6</v>
      </c>
      <c r="D17" s="7">
        <v>1</v>
      </c>
      <c r="E17" s="6" t="s">
        <v>15</v>
      </c>
      <c r="F17" s="7">
        <v>65</v>
      </c>
      <c r="G17" s="42">
        <f t="shared" si="0"/>
        <v>65</v>
      </c>
      <c r="H17" s="79">
        <v>0</v>
      </c>
      <c r="I17" s="79">
        <v>0</v>
      </c>
      <c r="J17" s="43"/>
    </row>
    <row r="18" spans="1:10" s="19" customFormat="1">
      <c r="A18" s="41"/>
      <c r="B18" s="5" t="s">
        <v>35</v>
      </c>
      <c r="C18" s="6" t="s">
        <v>20</v>
      </c>
      <c r="D18" s="7">
        <v>1</v>
      </c>
      <c r="E18" s="6" t="s">
        <v>15</v>
      </c>
      <c r="F18" s="7">
        <v>77</v>
      </c>
      <c r="G18" s="42">
        <f t="shared" si="0"/>
        <v>77</v>
      </c>
      <c r="H18" s="80">
        <v>0</v>
      </c>
      <c r="I18" s="79">
        <v>0</v>
      </c>
      <c r="J18" s="43"/>
    </row>
    <row r="19" spans="1:10" s="19" customFormat="1">
      <c r="A19" s="41"/>
      <c r="B19" s="5" t="s">
        <v>17</v>
      </c>
      <c r="C19" s="6"/>
      <c r="D19" s="7">
        <v>1</v>
      </c>
      <c r="E19" s="6" t="s">
        <v>18</v>
      </c>
      <c r="F19" s="7">
        <v>12</v>
      </c>
      <c r="G19" s="42">
        <f>F19*D19</f>
        <v>12</v>
      </c>
      <c r="H19" s="79">
        <v>0</v>
      </c>
      <c r="I19" s="79">
        <v>0</v>
      </c>
      <c r="J19" s="43"/>
    </row>
    <row r="20" spans="1:10" s="19" customFormat="1">
      <c r="A20" s="41"/>
      <c r="B20" s="5" t="s">
        <v>36</v>
      </c>
      <c r="C20" s="6"/>
      <c r="D20" s="7">
        <v>1</v>
      </c>
      <c r="E20" s="6" t="s">
        <v>13</v>
      </c>
      <c r="F20" s="7">
        <v>3</v>
      </c>
      <c r="G20" s="42">
        <f t="shared" si="0"/>
        <v>3</v>
      </c>
      <c r="H20" s="79">
        <v>0</v>
      </c>
      <c r="I20" s="79">
        <v>0</v>
      </c>
      <c r="J20" s="43"/>
    </row>
    <row r="21" spans="1:10" s="19" customFormat="1">
      <c r="A21" s="41"/>
      <c r="B21" s="5" t="s">
        <v>38</v>
      </c>
      <c r="C21" s="6"/>
      <c r="D21" s="7">
        <v>0.25</v>
      </c>
      <c r="E21" s="6" t="s">
        <v>37</v>
      </c>
      <c r="F21" s="7">
        <v>320</v>
      </c>
      <c r="G21" s="75">
        <f>F21*D21</f>
        <v>80</v>
      </c>
      <c r="H21" s="79">
        <v>0</v>
      </c>
      <c r="I21" s="79">
        <v>0</v>
      </c>
      <c r="J21" s="43"/>
    </row>
    <row r="22" spans="1:10" s="26" customFormat="1">
      <c r="A22" s="20"/>
      <c r="B22" s="21" t="s">
        <v>50</v>
      </c>
      <c r="C22" s="21"/>
      <c r="D22" s="21"/>
      <c r="E22" s="21"/>
      <c r="F22" s="22"/>
      <c r="G22" s="23">
        <f>SUM(G12:G21)</f>
        <v>1084</v>
      </c>
      <c r="H22" s="79"/>
      <c r="I22" s="79"/>
      <c r="J22" s="25"/>
    </row>
    <row r="23" spans="1:10" s="26" customFormat="1">
      <c r="A23" s="27"/>
      <c r="B23" s="28" t="s">
        <v>51</v>
      </c>
      <c r="C23" s="28"/>
      <c r="D23" s="28"/>
      <c r="E23" s="28"/>
      <c r="F23" s="29"/>
      <c r="G23" s="30">
        <v>0</v>
      </c>
      <c r="H23" s="31"/>
      <c r="I23" s="78"/>
      <c r="J23" s="32"/>
    </row>
    <row r="24" spans="1:10" s="26" customFormat="1">
      <c r="A24" s="33"/>
      <c r="B24" s="34" t="s">
        <v>54</v>
      </c>
      <c r="C24" s="213"/>
      <c r="D24" s="214"/>
      <c r="E24" s="214"/>
      <c r="F24" s="215"/>
      <c r="G24" s="35">
        <f>SUM(G22:G23)</f>
        <v>1084</v>
      </c>
      <c r="H24" s="36"/>
      <c r="I24" s="35">
        <f>SUM(I12:I23)</f>
        <v>8</v>
      </c>
      <c r="J24" s="37"/>
    </row>
    <row r="25" spans="1:10" s="19" customFormat="1">
      <c r="A25" s="199" t="s">
        <v>55</v>
      </c>
      <c r="B25" s="223"/>
      <c r="C25" s="223"/>
      <c r="D25" s="223"/>
      <c r="E25" s="223"/>
      <c r="F25" s="223"/>
      <c r="G25" s="223"/>
      <c r="H25" s="223"/>
      <c r="I25" s="223"/>
      <c r="J25" s="200"/>
    </row>
    <row r="26" spans="1:10" s="19" customFormat="1">
      <c r="A26" s="38"/>
      <c r="B26" s="39"/>
      <c r="C26" s="224" t="s">
        <v>53</v>
      </c>
      <c r="D26" s="225"/>
      <c r="E26" s="225"/>
      <c r="F26" s="225"/>
      <c r="G26" s="225"/>
      <c r="H26" s="225"/>
      <c r="I26" s="226"/>
      <c r="J26" s="40"/>
    </row>
    <row r="27" spans="1:10" s="26" customFormat="1">
      <c r="A27" s="20"/>
      <c r="B27" s="21" t="s">
        <v>50</v>
      </c>
      <c r="C27" s="21"/>
      <c r="D27" s="21"/>
      <c r="E27" s="21"/>
      <c r="F27" s="22"/>
      <c r="G27" s="44">
        <f>SUM(G26:G26)</f>
        <v>0</v>
      </c>
      <c r="H27" s="24"/>
      <c r="I27" s="24"/>
      <c r="J27" s="25"/>
    </row>
    <row r="28" spans="1:10" s="26" customFormat="1">
      <c r="A28" s="27"/>
      <c r="B28" s="28" t="s">
        <v>51</v>
      </c>
      <c r="C28" s="28"/>
      <c r="D28" s="28"/>
      <c r="E28" s="28"/>
      <c r="F28" s="29"/>
      <c r="G28" s="30">
        <f>G27*10%</f>
        <v>0</v>
      </c>
      <c r="H28" s="31"/>
      <c r="I28" s="31"/>
      <c r="J28" s="32"/>
    </row>
    <row r="29" spans="1:10" s="26" customFormat="1">
      <c r="A29" s="45"/>
      <c r="B29" s="34" t="s">
        <v>56</v>
      </c>
      <c r="C29" s="213"/>
      <c r="D29" s="214"/>
      <c r="E29" s="214"/>
      <c r="F29" s="215"/>
      <c r="G29" s="35">
        <f>SUM(G27:G28)</f>
        <v>0</v>
      </c>
      <c r="H29" s="36"/>
      <c r="I29" s="46">
        <f>SUM(I26:I28)</f>
        <v>0</v>
      </c>
      <c r="J29" s="47">
        <f>I29+G29</f>
        <v>0</v>
      </c>
    </row>
    <row r="30" spans="1:10" s="19" customFormat="1">
      <c r="A30" s="227" t="s">
        <v>57</v>
      </c>
      <c r="B30" s="228"/>
      <c r="C30" s="228"/>
      <c r="D30" s="228"/>
      <c r="E30" s="228"/>
      <c r="F30" s="228"/>
      <c r="G30" s="228"/>
      <c r="H30" s="228"/>
      <c r="I30" s="228"/>
      <c r="J30" s="229"/>
    </row>
    <row r="31" spans="1:10" s="19" customFormat="1">
      <c r="A31" s="38"/>
      <c r="B31" s="39"/>
      <c r="C31" s="224" t="s">
        <v>53</v>
      </c>
      <c r="D31" s="225"/>
      <c r="E31" s="225"/>
      <c r="F31" s="225"/>
      <c r="G31" s="225"/>
      <c r="H31" s="225"/>
      <c r="I31" s="226"/>
      <c r="J31" s="40"/>
    </row>
    <row r="32" spans="1:10" s="19" customFormat="1">
      <c r="A32" s="49"/>
      <c r="B32" s="48" t="s">
        <v>50</v>
      </c>
      <c r="C32" s="48"/>
      <c r="D32" s="48"/>
      <c r="E32" s="48"/>
      <c r="F32" s="42"/>
      <c r="G32" s="23">
        <f>SUM(G31:G31)</f>
        <v>0</v>
      </c>
      <c r="H32" s="50"/>
      <c r="I32" s="50"/>
      <c r="J32" s="51"/>
    </row>
    <row r="33" spans="1:13" s="19" customFormat="1">
      <c r="A33" s="52"/>
      <c r="B33" s="53" t="s">
        <v>51</v>
      </c>
      <c r="C33" s="53"/>
      <c r="D33" s="53"/>
      <c r="E33" s="53"/>
      <c r="F33" s="54"/>
      <c r="G33" s="55">
        <f>G32*10%</f>
        <v>0</v>
      </c>
      <c r="H33" s="56"/>
      <c r="I33" s="56"/>
      <c r="J33" s="57"/>
    </row>
    <row r="34" spans="1:13" s="19" customFormat="1">
      <c r="A34" s="58"/>
      <c r="B34" s="59" t="s">
        <v>58</v>
      </c>
      <c r="C34" s="230"/>
      <c r="D34" s="231"/>
      <c r="E34" s="231"/>
      <c r="F34" s="232"/>
      <c r="G34" s="60">
        <f>SUM(G32:G33)</f>
        <v>0</v>
      </c>
      <c r="H34" s="61"/>
      <c r="I34" s="62">
        <f>SUM(I31:I33)</f>
        <v>0</v>
      </c>
      <c r="J34" s="63">
        <f>I34+G34</f>
        <v>0</v>
      </c>
    </row>
    <row r="35" spans="1:13" s="26" customFormat="1">
      <c r="A35" s="233" t="s">
        <v>65</v>
      </c>
      <c r="B35" s="234"/>
      <c r="C35" s="235"/>
      <c r="D35" s="236"/>
      <c r="E35" s="236"/>
      <c r="F35" s="236"/>
      <c r="G35" s="236"/>
      <c r="H35" s="236"/>
      <c r="I35" s="237"/>
      <c r="J35" s="64">
        <v>3600</v>
      </c>
      <c r="K35" s="65"/>
      <c r="L35" s="66"/>
      <c r="M35" s="67"/>
    </row>
    <row r="36" spans="1:13" s="69" customFormat="1">
      <c r="A36" s="238" t="s">
        <v>59</v>
      </c>
      <c r="B36" s="239"/>
      <c r="C36" s="240"/>
      <c r="D36" s="241"/>
      <c r="E36" s="241"/>
      <c r="F36" s="241"/>
      <c r="G36" s="241"/>
      <c r="H36" s="241"/>
      <c r="I36" s="242"/>
      <c r="J36" s="68">
        <v>0</v>
      </c>
    </row>
    <row r="37" spans="1:13" s="19" customFormat="1">
      <c r="A37" s="216" t="s">
        <v>60</v>
      </c>
      <c r="B37" s="217"/>
      <c r="C37" s="76" t="s">
        <v>8</v>
      </c>
      <c r="D37" s="70" t="s">
        <v>8</v>
      </c>
      <c r="E37" s="71" t="s">
        <v>61</v>
      </c>
      <c r="F37" s="218">
        <v>0</v>
      </c>
      <c r="G37" s="219"/>
      <c r="H37" s="220">
        <v>0</v>
      </c>
      <c r="I37" s="221"/>
      <c r="J37" s="222"/>
    </row>
    <row r="38" spans="1:13" s="69" customFormat="1">
      <c r="A38" s="199" t="s">
        <v>73</v>
      </c>
      <c r="B38" s="200"/>
      <c r="C38" s="77" t="s">
        <v>6</v>
      </c>
      <c r="D38" s="72">
        <v>1</v>
      </c>
      <c r="E38" s="73" t="s">
        <v>7</v>
      </c>
      <c r="F38" s="201">
        <v>0</v>
      </c>
      <c r="G38" s="202"/>
      <c r="H38" s="202"/>
      <c r="I38" s="202"/>
      <c r="J38" s="203"/>
    </row>
    <row r="39" spans="1:13" s="69" customFormat="1" ht="21.75" thickBot="1">
      <c r="A39" s="204" t="s">
        <v>63</v>
      </c>
      <c r="B39" s="205"/>
      <c r="C39" s="206">
        <f>(J35+J36+H37+F38)</f>
        <v>3600</v>
      </c>
      <c r="D39" s="207"/>
      <c r="E39" s="207"/>
      <c r="F39" s="207"/>
      <c r="G39" s="207"/>
      <c r="H39" s="207"/>
      <c r="I39" s="207"/>
      <c r="J39" s="208"/>
      <c r="L39" s="74"/>
    </row>
    <row r="40" spans="1:13" s="69" customFormat="1" ht="21.75" thickBot="1">
      <c r="A40" s="209" t="str">
        <f>BAHTTEXT(C39)</f>
        <v>สามพันหกร้อยบาทถ้วน</v>
      </c>
      <c r="B40" s="210"/>
      <c r="C40" s="210"/>
      <c r="D40" s="210"/>
      <c r="E40" s="210"/>
      <c r="F40" s="210"/>
      <c r="G40" s="210"/>
      <c r="H40" s="210"/>
      <c r="I40" s="210"/>
      <c r="J40" s="211"/>
    </row>
    <row r="42" spans="1:13" s="1" customFormat="1">
      <c r="A42" s="212" t="s">
        <v>64</v>
      </c>
      <c r="B42" s="212"/>
      <c r="C42" s="11"/>
      <c r="D42" s="11"/>
      <c r="E42" s="198" t="s">
        <v>85</v>
      </c>
      <c r="F42" s="198"/>
      <c r="G42" s="198"/>
      <c r="H42" s="198"/>
      <c r="I42" s="198"/>
      <c r="J42" s="198"/>
      <c r="K42" s="11"/>
    </row>
    <row r="43" spans="1:13" s="1" customFormat="1">
      <c r="A43" s="198" t="s">
        <v>79</v>
      </c>
      <c r="B43" s="198"/>
      <c r="C43" s="11"/>
      <c r="D43" s="11"/>
      <c r="E43" s="198" t="s">
        <v>93</v>
      </c>
      <c r="F43" s="198"/>
      <c r="G43" s="198"/>
      <c r="H43" s="198"/>
      <c r="I43" s="198"/>
      <c r="J43" s="198"/>
      <c r="K43" s="11"/>
    </row>
    <row r="44" spans="1:13" s="1" customFormat="1">
      <c r="A44" s="198" t="s">
        <v>109</v>
      </c>
      <c r="B44" s="198"/>
      <c r="C44" s="11"/>
      <c r="D44" s="11"/>
      <c r="E44" s="198" t="s">
        <v>99</v>
      </c>
      <c r="F44" s="198"/>
      <c r="G44" s="198"/>
      <c r="H44" s="198"/>
      <c r="I44" s="198"/>
      <c r="J44" s="198"/>
      <c r="K44" s="11"/>
    </row>
    <row r="45" spans="1:13">
      <c r="E45" s="198" t="s">
        <v>100</v>
      </c>
      <c r="F45" s="198"/>
      <c r="G45" s="198"/>
      <c r="H45" s="198"/>
      <c r="I45" s="198"/>
      <c r="J45" s="198"/>
    </row>
  </sheetData>
  <mergeCells count="42">
    <mergeCell ref="E45:J45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  <mergeCell ref="A37:B37"/>
    <mergeCell ref="F37:G37"/>
    <mergeCell ref="H37:J37"/>
    <mergeCell ref="C24:F24"/>
    <mergeCell ref="A25:J25"/>
    <mergeCell ref="C26:I26"/>
    <mergeCell ref="C29:F29"/>
    <mergeCell ref="A30:J30"/>
    <mergeCell ref="C31:I31"/>
    <mergeCell ref="C34:F34"/>
    <mergeCell ref="A35:B35"/>
    <mergeCell ref="C35:I35"/>
    <mergeCell ref="A36:B36"/>
    <mergeCell ref="C36:I36"/>
    <mergeCell ref="A43:B43"/>
    <mergeCell ref="A44:B44"/>
    <mergeCell ref="A38:B38"/>
    <mergeCell ref="F38:J38"/>
    <mergeCell ref="A39:B39"/>
    <mergeCell ref="C39:J39"/>
    <mergeCell ref="A40:J40"/>
    <mergeCell ref="A42:B42"/>
    <mergeCell ref="E42:J42"/>
    <mergeCell ref="E43:J43"/>
    <mergeCell ref="E44:J44"/>
  </mergeCells>
  <conditionalFormatting sqref="F38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7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ageMargins left="0.78740157480314965" right="3.937007874015748E-2" top="0.55118110236220474" bottom="3.937007874015748E-2" header="0.31496062992125984" footer="0.31496062992125984"/>
  <pageSetup paperSize="9" scale="70" orientation="portrait" r:id="rId1"/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</sheetPr>
  <dimension ref="A1:M45"/>
  <sheetViews>
    <sheetView view="pageBreakPreview" zoomScale="120" zoomScaleNormal="130" zoomScaleSheetLayoutView="120" workbookViewId="0">
      <selection activeCell="L14" sqref="L14"/>
    </sheetView>
  </sheetViews>
  <sheetFormatPr defaultColWidth="9" defaultRowHeight="24"/>
  <cols>
    <col min="1" max="1" width="5.75" style="99" customWidth="1"/>
    <col min="2" max="2" width="44.62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1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71" customFormat="1">
      <c r="A2" s="253" t="s">
        <v>34</v>
      </c>
      <c r="B2" s="253"/>
      <c r="C2" s="253" t="s">
        <v>145</v>
      </c>
      <c r="D2" s="253"/>
      <c r="E2" s="253"/>
      <c r="F2" s="253"/>
      <c r="G2" s="253"/>
      <c r="H2" s="299" t="s">
        <v>122</v>
      </c>
      <c r="I2" s="299"/>
      <c r="J2" s="299"/>
      <c r="K2" s="96"/>
    </row>
    <row r="3" spans="1:11" s="171" customFormat="1">
      <c r="A3" s="300" t="s">
        <v>156</v>
      </c>
      <c r="B3" s="300"/>
      <c r="C3" s="300"/>
      <c r="D3" s="300"/>
      <c r="E3" s="300"/>
      <c r="F3" s="300"/>
      <c r="G3" s="300"/>
      <c r="H3" s="300"/>
      <c r="I3" s="300"/>
      <c r="J3" s="300"/>
      <c r="K3" s="95"/>
    </row>
    <row r="4" spans="1:11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1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1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1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04">
        <v>986</v>
      </c>
      <c r="G7" s="105">
        <f>D7*F7</f>
        <v>986</v>
      </c>
      <c r="H7" s="105">
        <v>100</v>
      </c>
      <c r="I7" s="105">
        <f>D7*H7</f>
        <v>100</v>
      </c>
      <c r="J7" s="106"/>
    </row>
    <row r="8" spans="1:11" s="114" customFormat="1">
      <c r="A8" s="108"/>
      <c r="B8" s="109" t="s">
        <v>50</v>
      </c>
      <c r="C8" s="109"/>
      <c r="D8" s="109"/>
      <c r="E8" s="109"/>
      <c r="F8" s="110"/>
      <c r="G8" s="111">
        <f>SUM(G7:G7)</f>
        <v>986</v>
      </c>
      <c r="H8" s="112"/>
      <c r="I8" s="112"/>
      <c r="J8" s="113"/>
    </row>
    <row r="9" spans="1:11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</row>
    <row r="10" spans="1:11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986</v>
      </c>
      <c r="H10" s="124"/>
      <c r="I10" s="123">
        <f>SUM(I7:I9)</f>
        <v>100</v>
      </c>
      <c r="J10" s="125"/>
    </row>
    <row r="11" spans="1:11">
      <c r="A11" s="282" t="s">
        <v>52</v>
      </c>
      <c r="B11" s="283"/>
      <c r="C11" s="283"/>
      <c r="D11" s="283"/>
      <c r="E11" s="283"/>
      <c r="F11" s="283"/>
      <c r="G11" s="283"/>
      <c r="H11" s="283"/>
      <c r="I11" s="283"/>
      <c r="J11" s="284"/>
    </row>
    <row r="12" spans="1:11" s="107" customFormat="1">
      <c r="A12" s="126"/>
      <c r="B12" s="127" t="s">
        <v>9</v>
      </c>
      <c r="C12" s="128">
        <v>20</v>
      </c>
      <c r="D12" s="129">
        <v>2</v>
      </c>
      <c r="E12" s="128" t="s">
        <v>10</v>
      </c>
      <c r="F12" s="129">
        <v>43</v>
      </c>
      <c r="G12" s="130">
        <f t="shared" ref="G12:G20" si="0">F12*D12</f>
        <v>86</v>
      </c>
      <c r="H12" s="131">
        <v>8</v>
      </c>
      <c r="I12" s="105">
        <f>D12*H12</f>
        <v>16</v>
      </c>
      <c r="J12" s="132"/>
    </row>
    <row r="13" spans="1:11" s="107" customFormat="1">
      <c r="A13" s="126"/>
      <c r="B13" s="127" t="s">
        <v>11</v>
      </c>
      <c r="C13" s="128" t="s">
        <v>108</v>
      </c>
      <c r="D13" s="129">
        <v>1</v>
      </c>
      <c r="E13" s="128" t="s">
        <v>13</v>
      </c>
      <c r="F13" s="129">
        <v>251</v>
      </c>
      <c r="G13" s="130">
        <f>F13*D13</f>
        <v>251</v>
      </c>
      <c r="H13" s="133">
        <v>0</v>
      </c>
      <c r="I13" s="134">
        <v>0</v>
      </c>
      <c r="J13" s="132"/>
    </row>
    <row r="14" spans="1:11" s="107" customFormat="1">
      <c r="A14" s="126"/>
      <c r="B14" s="127" t="s">
        <v>23</v>
      </c>
      <c r="C14" s="128" t="s">
        <v>24</v>
      </c>
      <c r="D14" s="129">
        <v>1</v>
      </c>
      <c r="E14" s="128" t="s">
        <v>15</v>
      </c>
      <c r="F14" s="129">
        <v>85</v>
      </c>
      <c r="G14" s="130">
        <f t="shared" si="0"/>
        <v>85</v>
      </c>
      <c r="H14" s="133">
        <v>0</v>
      </c>
      <c r="I14" s="134">
        <v>0</v>
      </c>
      <c r="J14" s="132"/>
    </row>
    <row r="15" spans="1:11" s="107" customFormat="1">
      <c r="A15" s="126"/>
      <c r="B15" s="127" t="s">
        <v>16</v>
      </c>
      <c r="C15" s="128">
        <v>20</v>
      </c>
      <c r="D15" s="129">
        <v>2</v>
      </c>
      <c r="E15" s="128" t="s">
        <v>15</v>
      </c>
      <c r="F15" s="129">
        <v>74</v>
      </c>
      <c r="G15" s="130">
        <f t="shared" si="0"/>
        <v>148</v>
      </c>
      <c r="H15" s="133">
        <v>0</v>
      </c>
      <c r="I15" s="134">
        <v>0</v>
      </c>
      <c r="J15" s="132"/>
    </row>
    <row r="16" spans="1:11" s="107" customFormat="1">
      <c r="A16" s="126"/>
      <c r="B16" s="127" t="s">
        <v>14</v>
      </c>
      <c r="C16" s="128" t="s">
        <v>6</v>
      </c>
      <c r="D16" s="129">
        <v>2</v>
      </c>
      <c r="E16" s="128" t="s">
        <v>15</v>
      </c>
      <c r="F16" s="129">
        <v>189</v>
      </c>
      <c r="G16" s="130">
        <f t="shared" si="0"/>
        <v>378</v>
      </c>
      <c r="H16" s="133">
        <v>0</v>
      </c>
      <c r="I16" s="187">
        <v>0</v>
      </c>
      <c r="J16" s="132"/>
    </row>
    <row r="17" spans="1:10" s="107" customFormat="1">
      <c r="A17" s="126"/>
      <c r="B17" s="127" t="s">
        <v>19</v>
      </c>
      <c r="C17" s="128" t="s">
        <v>6</v>
      </c>
      <c r="D17" s="129">
        <v>1</v>
      </c>
      <c r="E17" s="128" t="s">
        <v>15</v>
      </c>
      <c r="F17" s="129">
        <v>68</v>
      </c>
      <c r="G17" s="130">
        <f t="shared" si="0"/>
        <v>68</v>
      </c>
      <c r="H17" s="133">
        <v>0</v>
      </c>
      <c r="I17" s="133">
        <v>0</v>
      </c>
      <c r="J17" s="132"/>
    </row>
    <row r="18" spans="1:10" s="107" customFormat="1">
      <c r="A18" s="126"/>
      <c r="B18" s="127" t="s">
        <v>35</v>
      </c>
      <c r="C18" s="128" t="s">
        <v>20</v>
      </c>
      <c r="D18" s="129">
        <v>1</v>
      </c>
      <c r="E18" s="128" t="s">
        <v>15</v>
      </c>
      <c r="F18" s="129">
        <v>76</v>
      </c>
      <c r="G18" s="130">
        <f t="shared" si="0"/>
        <v>76</v>
      </c>
      <c r="H18" s="134">
        <v>0</v>
      </c>
      <c r="I18" s="133">
        <v>0</v>
      </c>
      <c r="J18" s="132"/>
    </row>
    <row r="19" spans="1:10" s="107" customFormat="1">
      <c r="A19" s="126"/>
      <c r="B19" s="127" t="s">
        <v>17</v>
      </c>
      <c r="C19" s="128"/>
      <c r="D19" s="129">
        <v>1</v>
      </c>
      <c r="E19" s="128" t="s">
        <v>18</v>
      </c>
      <c r="F19" s="129">
        <v>12</v>
      </c>
      <c r="G19" s="130">
        <f>F19*D19</f>
        <v>12</v>
      </c>
      <c r="H19" s="133">
        <v>0</v>
      </c>
      <c r="I19" s="133">
        <v>0</v>
      </c>
      <c r="J19" s="132"/>
    </row>
    <row r="20" spans="1:10" s="107" customFormat="1">
      <c r="A20" s="126"/>
      <c r="B20" s="127" t="s">
        <v>36</v>
      </c>
      <c r="C20" s="128"/>
      <c r="D20" s="129">
        <v>1</v>
      </c>
      <c r="E20" s="128" t="s">
        <v>13</v>
      </c>
      <c r="F20" s="129">
        <v>3</v>
      </c>
      <c r="G20" s="130">
        <f t="shared" si="0"/>
        <v>3</v>
      </c>
      <c r="H20" s="133">
        <v>0</v>
      </c>
      <c r="I20" s="133">
        <v>0</v>
      </c>
      <c r="J20" s="132"/>
    </row>
    <row r="21" spans="1:10" s="107" customFormat="1">
      <c r="A21" s="126"/>
      <c r="B21" s="127" t="s">
        <v>38</v>
      </c>
      <c r="C21" s="128"/>
      <c r="D21" s="129">
        <v>0.25</v>
      </c>
      <c r="E21" s="128" t="s">
        <v>37</v>
      </c>
      <c r="F21" s="129">
        <v>320</v>
      </c>
      <c r="G21" s="135">
        <f>F21*D21</f>
        <v>80</v>
      </c>
      <c r="H21" s="133">
        <v>0</v>
      </c>
      <c r="I21" s="133">
        <v>0</v>
      </c>
      <c r="J21" s="132"/>
    </row>
    <row r="22" spans="1:10" s="114" customFormat="1">
      <c r="A22" s="108"/>
      <c r="B22" s="109" t="s">
        <v>50</v>
      </c>
      <c r="C22" s="109"/>
      <c r="D22" s="109"/>
      <c r="E22" s="109"/>
      <c r="F22" s="110"/>
      <c r="G22" s="111">
        <f>SUM(G12:G21)</f>
        <v>1187</v>
      </c>
      <c r="H22" s="133"/>
      <c r="I22" s="133"/>
      <c r="J22" s="113"/>
    </row>
    <row r="23" spans="1:10" s="114" customFormat="1">
      <c r="A23" s="115"/>
      <c r="B23" s="116" t="s">
        <v>51</v>
      </c>
      <c r="C23" s="116"/>
      <c r="D23" s="116"/>
      <c r="E23" s="116"/>
      <c r="F23" s="117"/>
      <c r="G23" s="118">
        <v>0</v>
      </c>
      <c r="H23" s="119"/>
      <c r="I23" s="136"/>
      <c r="J23" s="120"/>
    </row>
    <row r="24" spans="1:10" s="114" customFormat="1">
      <c r="A24" s="121"/>
      <c r="B24" s="122" t="s">
        <v>54</v>
      </c>
      <c r="C24" s="275"/>
      <c r="D24" s="276"/>
      <c r="E24" s="276"/>
      <c r="F24" s="277"/>
      <c r="G24" s="123">
        <f>SUM(G22:G23)</f>
        <v>1187</v>
      </c>
      <c r="H24" s="124"/>
      <c r="I24" s="123">
        <f>SUM(I12:I23)</f>
        <v>16</v>
      </c>
      <c r="J24" s="125"/>
    </row>
    <row r="25" spans="1:10" s="107" customFormat="1">
      <c r="A25" s="254" t="s">
        <v>55</v>
      </c>
      <c r="B25" s="278"/>
      <c r="C25" s="278"/>
      <c r="D25" s="278"/>
      <c r="E25" s="278"/>
      <c r="F25" s="278"/>
      <c r="G25" s="278"/>
      <c r="H25" s="278"/>
      <c r="I25" s="278"/>
      <c r="J25" s="255"/>
    </row>
    <row r="26" spans="1:10" s="107" customFormat="1">
      <c r="A26" s="137"/>
      <c r="B26" s="138"/>
      <c r="C26" s="279" t="s">
        <v>53</v>
      </c>
      <c r="D26" s="280"/>
      <c r="E26" s="280"/>
      <c r="F26" s="280"/>
      <c r="G26" s="280"/>
      <c r="H26" s="280"/>
      <c r="I26" s="281"/>
      <c r="J26" s="139"/>
    </row>
    <row r="27" spans="1:10" s="114" customFormat="1">
      <c r="A27" s="108"/>
      <c r="B27" s="109" t="s">
        <v>50</v>
      </c>
      <c r="C27" s="109"/>
      <c r="D27" s="109"/>
      <c r="E27" s="109"/>
      <c r="F27" s="110"/>
      <c r="G27" s="140">
        <f>SUM(G26:G26)</f>
        <v>0</v>
      </c>
      <c r="H27" s="112"/>
      <c r="I27" s="112"/>
      <c r="J27" s="113"/>
    </row>
    <row r="28" spans="1:10" s="114" customFormat="1">
      <c r="A28" s="115"/>
      <c r="B28" s="116" t="s">
        <v>51</v>
      </c>
      <c r="C28" s="116"/>
      <c r="D28" s="116"/>
      <c r="E28" s="116"/>
      <c r="F28" s="117"/>
      <c r="G28" s="118">
        <f>G27*10%</f>
        <v>0</v>
      </c>
      <c r="H28" s="119"/>
      <c r="I28" s="119"/>
      <c r="J28" s="120"/>
    </row>
    <row r="29" spans="1:10" s="114" customFormat="1">
      <c r="A29" s="141"/>
      <c r="B29" s="122" t="s">
        <v>56</v>
      </c>
      <c r="C29" s="275"/>
      <c r="D29" s="276"/>
      <c r="E29" s="276"/>
      <c r="F29" s="277"/>
      <c r="G29" s="123">
        <f>SUM(G27:G28)</f>
        <v>0</v>
      </c>
      <c r="H29" s="124"/>
      <c r="I29" s="142">
        <f>SUM(I26:I28)</f>
        <v>0</v>
      </c>
      <c r="J29" s="143">
        <f>I29+G29</f>
        <v>0</v>
      </c>
    </row>
    <row r="30" spans="1:10" s="107" customFormat="1">
      <c r="A30" s="282" t="s">
        <v>57</v>
      </c>
      <c r="B30" s="283"/>
      <c r="C30" s="283"/>
      <c r="D30" s="283"/>
      <c r="E30" s="283"/>
      <c r="F30" s="283"/>
      <c r="G30" s="283"/>
      <c r="H30" s="283"/>
      <c r="I30" s="283"/>
      <c r="J30" s="284"/>
    </row>
    <row r="31" spans="1:10" s="107" customFormat="1">
      <c r="A31" s="137"/>
      <c r="B31" s="138"/>
      <c r="C31" s="279" t="s">
        <v>53</v>
      </c>
      <c r="D31" s="280"/>
      <c r="E31" s="280"/>
      <c r="F31" s="280"/>
      <c r="G31" s="280"/>
      <c r="H31" s="280"/>
      <c r="I31" s="281"/>
      <c r="J31" s="139"/>
    </row>
    <row r="32" spans="1:10" s="107" customFormat="1">
      <c r="A32" s="144"/>
      <c r="B32" s="145" t="s">
        <v>50</v>
      </c>
      <c r="C32" s="145"/>
      <c r="D32" s="145"/>
      <c r="E32" s="145"/>
      <c r="F32" s="130"/>
      <c r="G32" s="111">
        <f>SUM(G31:G31)</f>
        <v>0</v>
      </c>
      <c r="H32" s="146"/>
      <c r="I32" s="146"/>
      <c r="J32" s="147"/>
    </row>
    <row r="33" spans="1:13" s="107" customFormat="1">
      <c r="A33" s="148"/>
      <c r="B33" s="149" t="s">
        <v>51</v>
      </c>
      <c r="C33" s="149"/>
      <c r="D33" s="149"/>
      <c r="E33" s="149"/>
      <c r="F33" s="150"/>
      <c r="G33" s="151">
        <f>G32*10%</f>
        <v>0</v>
      </c>
      <c r="H33" s="152"/>
      <c r="I33" s="152"/>
      <c r="J33" s="153"/>
    </row>
    <row r="34" spans="1:13" s="107" customFormat="1">
      <c r="A34" s="154"/>
      <c r="B34" s="155" t="s">
        <v>58</v>
      </c>
      <c r="C34" s="285"/>
      <c r="D34" s="286"/>
      <c r="E34" s="286"/>
      <c r="F34" s="287"/>
      <c r="G34" s="156">
        <f>SUM(G32:G33)</f>
        <v>0</v>
      </c>
      <c r="H34" s="157"/>
      <c r="I34" s="158">
        <f>SUM(I31:I33)</f>
        <v>0</v>
      </c>
      <c r="J34" s="159">
        <f>I34+G34</f>
        <v>0</v>
      </c>
    </row>
    <row r="35" spans="1:13" s="114" customFormat="1">
      <c r="A35" s="288" t="s">
        <v>65</v>
      </c>
      <c r="B35" s="289"/>
      <c r="C35" s="290"/>
      <c r="D35" s="291"/>
      <c r="E35" s="291"/>
      <c r="F35" s="291"/>
      <c r="G35" s="291"/>
      <c r="H35" s="291"/>
      <c r="I35" s="292"/>
      <c r="J35" s="160">
        <v>3600</v>
      </c>
      <c r="K35" s="161"/>
      <c r="L35" s="172"/>
      <c r="M35" s="173"/>
    </row>
    <row r="36" spans="1:13" s="163" customFormat="1">
      <c r="A36" s="293" t="s">
        <v>59</v>
      </c>
      <c r="B36" s="294"/>
      <c r="C36" s="295"/>
      <c r="D36" s="296"/>
      <c r="E36" s="296"/>
      <c r="F36" s="296"/>
      <c r="G36" s="296"/>
      <c r="H36" s="296"/>
      <c r="I36" s="297"/>
      <c r="J36" s="162">
        <v>0</v>
      </c>
    </row>
    <row r="37" spans="1:13" s="107" customFormat="1">
      <c r="A37" s="268" t="s">
        <v>60</v>
      </c>
      <c r="B37" s="269"/>
      <c r="C37" s="164" t="s">
        <v>8</v>
      </c>
      <c r="D37" s="165" t="s">
        <v>8</v>
      </c>
      <c r="E37" s="166" t="s">
        <v>61</v>
      </c>
      <c r="F37" s="270">
        <v>0</v>
      </c>
      <c r="G37" s="271"/>
      <c r="H37" s="272">
        <v>0</v>
      </c>
      <c r="I37" s="273"/>
      <c r="J37" s="274"/>
    </row>
    <row r="38" spans="1:13" s="163" customFormat="1">
      <c r="A38" s="254" t="s">
        <v>83</v>
      </c>
      <c r="B38" s="255"/>
      <c r="C38" s="167" t="s">
        <v>6</v>
      </c>
      <c r="D38" s="168">
        <v>1</v>
      </c>
      <c r="E38" s="169" t="s">
        <v>7</v>
      </c>
      <c r="F38" s="256">
        <v>0</v>
      </c>
      <c r="G38" s="257"/>
      <c r="H38" s="257"/>
      <c r="I38" s="257"/>
      <c r="J38" s="258"/>
    </row>
    <row r="39" spans="1:13" s="163" customFormat="1" ht="24.75" thickBot="1">
      <c r="A39" s="259" t="s">
        <v>63</v>
      </c>
      <c r="B39" s="260"/>
      <c r="C39" s="261">
        <f>(J35+J36+H37+F38)</f>
        <v>3600</v>
      </c>
      <c r="D39" s="262"/>
      <c r="E39" s="262"/>
      <c r="F39" s="262"/>
      <c r="G39" s="262"/>
      <c r="H39" s="262"/>
      <c r="I39" s="262"/>
      <c r="J39" s="263"/>
      <c r="L39" s="174"/>
    </row>
    <row r="40" spans="1:13" s="163" customFormat="1" ht="24.75" thickBot="1">
      <c r="A40" s="264" t="str">
        <f>BAHTTEXT(C39)</f>
        <v>สามพันหกร้อยบาทถ้วน</v>
      </c>
      <c r="B40" s="265"/>
      <c r="C40" s="265"/>
      <c r="D40" s="265"/>
      <c r="E40" s="265"/>
      <c r="F40" s="265"/>
      <c r="G40" s="265"/>
      <c r="H40" s="265"/>
      <c r="I40" s="265"/>
      <c r="J40" s="266"/>
    </row>
    <row r="42" spans="1:13" s="171" customFormat="1">
      <c r="A42" s="267" t="s">
        <v>64</v>
      </c>
      <c r="B42" s="267"/>
      <c r="C42" s="170"/>
      <c r="D42" s="170"/>
      <c r="E42" s="253" t="s">
        <v>85</v>
      </c>
      <c r="F42" s="253"/>
      <c r="G42" s="253"/>
      <c r="H42" s="253"/>
      <c r="I42" s="253"/>
      <c r="J42" s="253"/>
      <c r="K42" s="170"/>
    </row>
    <row r="43" spans="1:13" s="171" customFormat="1">
      <c r="A43" s="253" t="s">
        <v>79</v>
      </c>
      <c r="B43" s="253"/>
      <c r="C43" s="170"/>
      <c r="D43" s="170"/>
      <c r="E43" s="253" t="s">
        <v>154</v>
      </c>
      <c r="F43" s="253"/>
      <c r="G43" s="253"/>
      <c r="H43" s="253"/>
      <c r="I43" s="253"/>
      <c r="J43" s="253"/>
      <c r="K43" s="170"/>
    </row>
    <row r="44" spans="1:13" s="171" customFormat="1">
      <c r="A44" s="253" t="s">
        <v>151</v>
      </c>
      <c r="B44" s="253"/>
      <c r="C44" s="170"/>
      <c r="D44" s="170"/>
      <c r="E44" s="253" t="s">
        <v>126</v>
      </c>
      <c r="F44" s="253"/>
      <c r="G44" s="253"/>
      <c r="H44" s="253"/>
      <c r="I44" s="253"/>
      <c r="J44" s="253"/>
      <c r="K44" s="170"/>
    </row>
    <row r="45" spans="1:13" s="14" customFormat="1">
      <c r="E45" s="253"/>
      <c r="F45" s="253"/>
      <c r="G45" s="253"/>
      <c r="H45" s="253"/>
      <c r="I45" s="253"/>
      <c r="J45" s="253"/>
    </row>
  </sheetData>
  <mergeCells count="42">
    <mergeCell ref="E45:J45"/>
    <mergeCell ref="A43:B43"/>
    <mergeCell ref="A44:B44"/>
    <mergeCell ref="A38:B38"/>
    <mergeCell ref="F38:J38"/>
    <mergeCell ref="A39:B39"/>
    <mergeCell ref="C39:J39"/>
    <mergeCell ref="A40:J40"/>
    <mergeCell ref="A42:B42"/>
    <mergeCell ref="E42:J42"/>
    <mergeCell ref="E43:J43"/>
    <mergeCell ref="E44:J44"/>
    <mergeCell ref="A37:B37"/>
    <mergeCell ref="F37:G37"/>
    <mergeCell ref="H37:J37"/>
    <mergeCell ref="C24:F24"/>
    <mergeCell ref="A25:J25"/>
    <mergeCell ref="C26:I26"/>
    <mergeCell ref="C29:F29"/>
    <mergeCell ref="A30:J30"/>
    <mergeCell ref="C31:I31"/>
    <mergeCell ref="C34:F34"/>
    <mergeCell ref="A35:B35"/>
    <mergeCell ref="C35:I35"/>
    <mergeCell ref="A36:B36"/>
    <mergeCell ref="C36:I36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</mergeCells>
  <conditionalFormatting sqref="F38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7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ageMargins left="0.78740157480314965" right="3.937007874015748E-2" top="0.55118110236220474" bottom="3.937007874015748E-2" header="0.31496062992125984" footer="0.31496062992125984"/>
  <pageSetup paperSize="9" scale="70" orientation="portrait" r:id="rId1"/>
  <colBreaks count="1" manualBreakCount="1">
    <brk id="1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M51"/>
  <sheetViews>
    <sheetView view="pageBreakPreview" zoomScale="130" zoomScaleNormal="100" zoomScaleSheetLayoutView="130" workbookViewId="0">
      <selection activeCell="L5" sqref="L5"/>
    </sheetView>
  </sheetViews>
  <sheetFormatPr defaultColWidth="9" defaultRowHeight="21"/>
  <cols>
    <col min="1" max="1" width="5.75" style="14" customWidth="1"/>
    <col min="2" max="2" width="48.375" style="14" customWidth="1"/>
    <col min="3" max="3" width="8.625" style="14" customWidth="1"/>
    <col min="4" max="6" width="7.625" style="14" customWidth="1"/>
    <col min="7" max="7" width="8.625" style="14" customWidth="1"/>
    <col min="8" max="8" width="7.625" style="14" customWidth="1"/>
    <col min="9" max="9" width="8.625" style="14" customWidth="1"/>
    <col min="10" max="10" width="9.125" style="14" customWidth="1"/>
    <col min="11" max="16384" width="9" style="14"/>
  </cols>
  <sheetData>
    <row r="1" spans="1:11" s="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" customFormat="1" ht="24">
      <c r="A2" s="253" t="s">
        <v>34</v>
      </c>
      <c r="B2" s="253"/>
      <c r="C2" s="253" t="s">
        <v>166</v>
      </c>
      <c r="D2" s="253"/>
      <c r="E2" s="253"/>
      <c r="F2" s="253"/>
      <c r="G2" s="253"/>
      <c r="H2" s="299" t="s">
        <v>106</v>
      </c>
      <c r="I2" s="299"/>
      <c r="J2" s="299"/>
      <c r="K2" s="96"/>
    </row>
    <row r="3" spans="1:11" s="1" customFormat="1" ht="24">
      <c r="A3" s="308" t="s">
        <v>165</v>
      </c>
      <c r="B3" s="308"/>
      <c r="C3" s="308"/>
      <c r="D3" s="308"/>
      <c r="E3" s="308"/>
      <c r="F3" s="308"/>
      <c r="G3" s="308"/>
      <c r="H3" s="308"/>
      <c r="I3" s="308"/>
      <c r="J3" s="308"/>
      <c r="K3" s="95"/>
    </row>
    <row r="4" spans="1:11" s="12" customFormat="1" ht="24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  <c r="K4" s="97"/>
    </row>
    <row r="5" spans="1:11" s="12" customFormat="1" ht="24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  <c r="K5" s="97"/>
    </row>
    <row r="6" spans="1:11" ht="24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  <c r="K6" s="99"/>
    </row>
    <row r="7" spans="1:11" s="19" customFormat="1" ht="24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92">
        <v>1003</v>
      </c>
      <c r="G7" s="105">
        <f>D7*F7</f>
        <v>1003</v>
      </c>
      <c r="H7" s="105">
        <v>100</v>
      </c>
      <c r="I7" s="105">
        <f>D7*H7</f>
        <v>100</v>
      </c>
      <c r="J7" s="106"/>
      <c r="K7" s="107"/>
    </row>
    <row r="8" spans="1:11" s="26" customFormat="1" ht="24">
      <c r="A8" s="108"/>
      <c r="B8" s="109" t="s">
        <v>50</v>
      </c>
      <c r="C8" s="109"/>
      <c r="D8" s="109"/>
      <c r="E8" s="109"/>
      <c r="F8" s="110"/>
      <c r="G8" s="111">
        <f>SUM(G7:G7)</f>
        <v>1003</v>
      </c>
      <c r="H8" s="112"/>
      <c r="I8" s="112"/>
      <c r="J8" s="113" t="s">
        <v>86</v>
      </c>
      <c r="K8" s="114" t="s">
        <v>86</v>
      </c>
    </row>
    <row r="9" spans="1:11" s="26" customFormat="1" ht="24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  <c r="K9" s="114"/>
    </row>
    <row r="10" spans="1:11" s="26" customFormat="1" ht="24">
      <c r="A10" s="121"/>
      <c r="B10" s="122" t="s">
        <v>21</v>
      </c>
      <c r="C10" s="275"/>
      <c r="D10" s="276"/>
      <c r="E10" s="276"/>
      <c r="F10" s="277"/>
      <c r="G10" s="123">
        <f>SUM(G8:G9)</f>
        <v>1003</v>
      </c>
      <c r="H10" s="124"/>
      <c r="I10" s="123">
        <f>SUM(I7:I9)</f>
        <v>100</v>
      </c>
      <c r="J10" s="125"/>
      <c r="K10" s="114"/>
    </row>
    <row r="11" spans="1:11" ht="24">
      <c r="A11" s="282" t="s">
        <v>52</v>
      </c>
      <c r="B11" s="283"/>
      <c r="C11" s="283"/>
      <c r="D11" s="283"/>
      <c r="E11" s="283"/>
      <c r="F11" s="283"/>
      <c r="G11" s="283"/>
      <c r="H11" s="283"/>
      <c r="I11" s="283"/>
      <c r="J11" s="284"/>
      <c r="K11" s="99"/>
    </row>
    <row r="12" spans="1:11" s="19" customFormat="1" ht="24">
      <c r="A12" s="126"/>
      <c r="B12" s="127" t="s">
        <v>9</v>
      </c>
      <c r="C12" s="128">
        <v>20</v>
      </c>
      <c r="D12" s="129">
        <v>2</v>
      </c>
      <c r="E12" s="128" t="s">
        <v>10</v>
      </c>
      <c r="F12" s="129">
        <v>43</v>
      </c>
      <c r="G12" s="130">
        <f t="shared" ref="G12:G19" si="0">F12*D12</f>
        <v>86</v>
      </c>
      <c r="H12" s="131">
        <v>8</v>
      </c>
      <c r="I12" s="105">
        <f t="shared" ref="I12:I19" si="1">D12*H12</f>
        <v>16</v>
      </c>
      <c r="J12" s="132"/>
      <c r="K12" s="107"/>
    </row>
    <row r="13" spans="1:11" s="19" customFormat="1" ht="24">
      <c r="A13" s="126"/>
      <c r="B13" s="127" t="s">
        <v>11</v>
      </c>
      <c r="C13" s="128" t="s">
        <v>12</v>
      </c>
      <c r="D13" s="129">
        <v>1</v>
      </c>
      <c r="E13" s="128" t="s">
        <v>13</v>
      </c>
      <c r="F13" s="129">
        <v>239</v>
      </c>
      <c r="G13" s="130">
        <f t="shared" si="0"/>
        <v>239</v>
      </c>
      <c r="H13" s="133">
        <v>0</v>
      </c>
      <c r="I13" s="134">
        <v>0</v>
      </c>
      <c r="J13" s="132"/>
      <c r="K13" s="107"/>
    </row>
    <row r="14" spans="1:11" s="19" customFormat="1" ht="24">
      <c r="A14" s="126"/>
      <c r="B14" s="127" t="s">
        <v>16</v>
      </c>
      <c r="C14" s="128">
        <v>20</v>
      </c>
      <c r="D14" s="129">
        <v>2</v>
      </c>
      <c r="E14" s="128" t="s">
        <v>15</v>
      </c>
      <c r="F14" s="129">
        <v>74</v>
      </c>
      <c r="G14" s="130">
        <f t="shared" si="0"/>
        <v>148</v>
      </c>
      <c r="H14" s="133">
        <v>0</v>
      </c>
      <c r="I14" s="105">
        <f t="shared" si="1"/>
        <v>0</v>
      </c>
      <c r="J14" s="132"/>
      <c r="K14" s="107"/>
    </row>
    <row r="15" spans="1:11" s="19" customFormat="1" ht="24">
      <c r="A15" s="126"/>
      <c r="B15" s="127" t="s">
        <v>97</v>
      </c>
      <c r="C15" s="128" t="s">
        <v>6</v>
      </c>
      <c r="D15" s="129">
        <v>2</v>
      </c>
      <c r="E15" s="128" t="s">
        <v>15</v>
      </c>
      <c r="F15" s="129">
        <v>189</v>
      </c>
      <c r="G15" s="130">
        <f t="shared" si="0"/>
        <v>378</v>
      </c>
      <c r="H15" s="133">
        <v>0</v>
      </c>
      <c r="I15" s="105">
        <f t="shared" si="1"/>
        <v>0</v>
      </c>
      <c r="J15" s="132"/>
      <c r="K15" s="107"/>
    </row>
    <row r="16" spans="1:11" s="19" customFormat="1" ht="24">
      <c r="A16" s="126"/>
      <c r="B16" s="127" t="s">
        <v>19</v>
      </c>
      <c r="C16" s="128" t="s">
        <v>6</v>
      </c>
      <c r="D16" s="129">
        <v>1</v>
      </c>
      <c r="E16" s="128" t="s">
        <v>15</v>
      </c>
      <c r="F16" s="129">
        <v>68</v>
      </c>
      <c r="G16" s="130">
        <f t="shared" si="0"/>
        <v>68</v>
      </c>
      <c r="H16" s="133">
        <v>0</v>
      </c>
      <c r="I16" s="105">
        <f t="shared" si="1"/>
        <v>0</v>
      </c>
      <c r="J16" s="132"/>
      <c r="K16" s="107"/>
    </row>
    <row r="17" spans="1:11" s="19" customFormat="1" ht="24">
      <c r="A17" s="126"/>
      <c r="B17" s="127" t="s">
        <v>35</v>
      </c>
      <c r="C17" s="128" t="s">
        <v>20</v>
      </c>
      <c r="D17" s="129">
        <v>1</v>
      </c>
      <c r="E17" s="128" t="s">
        <v>15</v>
      </c>
      <c r="F17" s="129">
        <v>81</v>
      </c>
      <c r="G17" s="130">
        <f t="shared" si="0"/>
        <v>81</v>
      </c>
      <c r="H17" s="134">
        <v>0</v>
      </c>
      <c r="I17" s="105">
        <f t="shared" si="1"/>
        <v>0</v>
      </c>
      <c r="J17" s="132"/>
      <c r="K17" s="107"/>
    </row>
    <row r="18" spans="1:11" s="19" customFormat="1" ht="24">
      <c r="A18" s="126"/>
      <c r="B18" s="127" t="s">
        <v>36</v>
      </c>
      <c r="C18" s="128"/>
      <c r="D18" s="129">
        <v>1</v>
      </c>
      <c r="E18" s="128" t="s">
        <v>13</v>
      </c>
      <c r="F18" s="129">
        <v>3</v>
      </c>
      <c r="G18" s="130">
        <f t="shared" si="0"/>
        <v>3</v>
      </c>
      <c r="H18" s="133">
        <v>0</v>
      </c>
      <c r="I18" s="105">
        <f t="shared" si="1"/>
        <v>0</v>
      </c>
      <c r="J18" s="132"/>
      <c r="K18" s="107"/>
    </row>
    <row r="19" spans="1:11" s="19" customFormat="1" ht="24">
      <c r="A19" s="126"/>
      <c r="B19" s="127" t="s">
        <v>38</v>
      </c>
      <c r="C19" s="128"/>
      <c r="D19" s="129">
        <v>0.25</v>
      </c>
      <c r="E19" s="128" t="s">
        <v>37</v>
      </c>
      <c r="F19" s="129">
        <v>320</v>
      </c>
      <c r="G19" s="135">
        <f t="shared" si="0"/>
        <v>80</v>
      </c>
      <c r="H19" s="133">
        <v>0</v>
      </c>
      <c r="I19" s="105">
        <f t="shared" si="1"/>
        <v>0</v>
      </c>
      <c r="J19" s="132"/>
      <c r="K19" s="107"/>
    </row>
    <row r="20" spans="1:11" s="26" customFormat="1" ht="24">
      <c r="A20" s="108"/>
      <c r="B20" s="109" t="s">
        <v>50</v>
      </c>
      <c r="C20" s="109"/>
      <c r="D20" s="109"/>
      <c r="E20" s="109"/>
      <c r="F20" s="110"/>
      <c r="G20" s="111">
        <f>SUM(G12:G19)</f>
        <v>1083</v>
      </c>
      <c r="H20" s="133"/>
      <c r="I20" s="133"/>
      <c r="J20" s="113"/>
      <c r="K20" s="114"/>
    </row>
    <row r="21" spans="1:11" s="26" customFormat="1" ht="24">
      <c r="A21" s="115"/>
      <c r="B21" s="116" t="s">
        <v>51</v>
      </c>
      <c r="C21" s="116"/>
      <c r="D21" s="116"/>
      <c r="E21" s="116"/>
      <c r="F21" s="117"/>
      <c r="G21" s="118">
        <v>0</v>
      </c>
      <c r="H21" s="119"/>
      <c r="I21" s="136"/>
      <c r="J21" s="120"/>
      <c r="K21" s="114"/>
    </row>
    <row r="22" spans="1:11" s="26" customFormat="1" ht="24">
      <c r="A22" s="121"/>
      <c r="B22" s="122" t="s">
        <v>54</v>
      </c>
      <c r="C22" s="275"/>
      <c r="D22" s="276"/>
      <c r="E22" s="276"/>
      <c r="F22" s="277"/>
      <c r="G22" s="123">
        <f>SUM(G20:G21)</f>
        <v>1083</v>
      </c>
      <c r="H22" s="124"/>
      <c r="I22" s="123">
        <f>SUM(I12:I21)</f>
        <v>16</v>
      </c>
      <c r="J22" s="125"/>
      <c r="K22" s="114"/>
    </row>
    <row r="23" spans="1:11" s="19" customFormat="1" ht="24">
      <c r="A23" s="254" t="s">
        <v>55</v>
      </c>
      <c r="B23" s="278"/>
      <c r="C23" s="278"/>
      <c r="D23" s="278"/>
      <c r="E23" s="278"/>
      <c r="F23" s="278"/>
      <c r="G23" s="278"/>
      <c r="H23" s="278"/>
      <c r="I23" s="278"/>
      <c r="J23" s="255"/>
      <c r="K23" s="107"/>
    </row>
    <row r="24" spans="1:11" s="19" customFormat="1" ht="24">
      <c r="A24" s="137"/>
      <c r="B24" s="138"/>
      <c r="C24" s="279" t="s">
        <v>53</v>
      </c>
      <c r="D24" s="280"/>
      <c r="E24" s="280"/>
      <c r="F24" s="280"/>
      <c r="G24" s="280"/>
      <c r="H24" s="280"/>
      <c r="I24" s="281"/>
      <c r="J24" s="139"/>
      <c r="K24" s="107"/>
    </row>
    <row r="25" spans="1:11" s="26" customFormat="1" ht="24">
      <c r="A25" s="108"/>
      <c r="B25" s="109" t="s">
        <v>50</v>
      </c>
      <c r="C25" s="109"/>
      <c r="D25" s="109"/>
      <c r="E25" s="109"/>
      <c r="F25" s="110"/>
      <c r="G25" s="140">
        <f>SUM(G24:G24)</f>
        <v>0</v>
      </c>
      <c r="H25" s="112"/>
      <c r="I25" s="112"/>
      <c r="J25" s="113"/>
      <c r="K25" s="114"/>
    </row>
    <row r="26" spans="1:11" s="26" customFormat="1" ht="24">
      <c r="A26" s="115"/>
      <c r="B26" s="116" t="s">
        <v>51</v>
      </c>
      <c r="C26" s="116"/>
      <c r="D26" s="116"/>
      <c r="E26" s="116"/>
      <c r="F26" s="117"/>
      <c r="G26" s="118">
        <f>G25*10%</f>
        <v>0</v>
      </c>
      <c r="H26" s="119"/>
      <c r="I26" s="119"/>
      <c r="J26" s="120"/>
      <c r="K26" s="114"/>
    </row>
    <row r="27" spans="1:11" s="26" customFormat="1" ht="24">
      <c r="A27" s="141"/>
      <c r="B27" s="122" t="s">
        <v>56</v>
      </c>
      <c r="C27" s="275"/>
      <c r="D27" s="276"/>
      <c r="E27" s="276"/>
      <c r="F27" s="277"/>
      <c r="G27" s="123">
        <f>SUM(G25:G26)</f>
        <v>0</v>
      </c>
      <c r="H27" s="124"/>
      <c r="I27" s="142">
        <f>SUM(I24:I26)</f>
        <v>0</v>
      </c>
      <c r="J27" s="143">
        <f>I27+G27</f>
        <v>0</v>
      </c>
      <c r="K27" s="114"/>
    </row>
    <row r="28" spans="1:11" s="19" customFormat="1" ht="24">
      <c r="A28" s="282" t="s">
        <v>57</v>
      </c>
      <c r="B28" s="283"/>
      <c r="C28" s="283"/>
      <c r="D28" s="283"/>
      <c r="E28" s="283"/>
      <c r="F28" s="283"/>
      <c r="G28" s="283"/>
      <c r="H28" s="283"/>
      <c r="I28" s="283"/>
      <c r="J28" s="284"/>
      <c r="K28" s="107"/>
    </row>
    <row r="29" spans="1:11" s="19" customFormat="1" ht="24">
      <c r="A29" s="137"/>
      <c r="B29" s="138"/>
      <c r="C29" s="279" t="s">
        <v>53</v>
      </c>
      <c r="D29" s="280"/>
      <c r="E29" s="280"/>
      <c r="F29" s="280"/>
      <c r="G29" s="280"/>
      <c r="H29" s="280"/>
      <c r="I29" s="281"/>
      <c r="J29" s="139"/>
      <c r="K29" s="107"/>
    </row>
    <row r="30" spans="1:11" s="19" customFormat="1" ht="24">
      <c r="A30" s="144"/>
      <c r="B30" s="145" t="s">
        <v>50</v>
      </c>
      <c r="C30" s="145"/>
      <c r="D30" s="145"/>
      <c r="E30" s="145"/>
      <c r="F30" s="130"/>
      <c r="G30" s="111">
        <f>SUM(G29:G29)</f>
        <v>0</v>
      </c>
      <c r="H30" s="146"/>
      <c r="I30" s="146"/>
      <c r="J30" s="147"/>
      <c r="K30" s="107"/>
    </row>
    <row r="31" spans="1:11" s="19" customFormat="1" ht="24">
      <c r="A31" s="148"/>
      <c r="B31" s="149" t="s">
        <v>51</v>
      </c>
      <c r="C31" s="149"/>
      <c r="D31" s="149"/>
      <c r="E31" s="149"/>
      <c r="F31" s="150"/>
      <c r="G31" s="151">
        <f>G30*10%</f>
        <v>0</v>
      </c>
      <c r="H31" s="152"/>
      <c r="I31" s="152"/>
      <c r="J31" s="153"/>
      <c r="K31" s="107"/>
    </row>
    <row r="32" spans="1:11" s="19" customFormat="1" ht="24">
      <c r="A32" s="154"/>
      <c r="B32" s="155" t="s">
        <v>58</v>
      </c>
      <c r="C32" s="285"/>
      <c r="D32" s="286"/>
      <c r="E32" s="286"/>
      <c r="F32" s="287"/>
      <c r="G32" s="156">
        <f>SUM(G30:G31)</f>
        <v>0</v>
      </c>
      <c r="H32" s="157"/>
      <c r="I32" s="158">
        <f>SUM(I29:I31)</f>
        <v>0</v>
      </c>
      <c r="J32" s="159">
        <f>I32+G32</f>
        <v>0</v>
      </c>
      <c r="K32" s="107"/>
    </row>
    <row r="33" spans="1:13" s="26" customFormat="1" ht="24">
      <c r="A33" s="309" t="s">
        <v>65</v>
      </c>
      <c r="B33" s="310"/>
      <c r="C33" s="290"/>
      <c r="D33" s="291"/>
      <c r="E33" s="291"/>
      <c r="F33" s="291"/>
      <c r="G33" s="291"/>
      <c r="H33" s="291"/>
      <c r="I33" s="292"/>
      <c r="J33" s="160">
        <v>3600</v>
      </c>
      <c r="K33" s="161"/>
      <c r="L33" s="66"/>
      <c r="M33" s="67"/>
    </row>
    <row r="34" spans="1:13" s="69" customFormat="1" ht="24">
      <c r="A34" s="293" t="s">
        <v>59</v>
      </c>
      <c r="B34" s="294"/>
      <c r="C34" s="295"/>
      <c r="D34" s="296"/>
      <c r="E34" s="296"/>
      <c r="F34" s="296"/>
      <c r="G34" s="296"/>
      <c r="H34" s="296"/>
      <c r="I34" s="297"/>
      <c r="J34" s="162">
        <v>0</v>
      </c>
      <c r="K34" s="163"/>
    </row>
    <row r="35" spans="1:13" s="19" customFormat="1" ht="24">
      <c r="A35" s="268" t="s">
        <v>60</v>
      </c>
      <c r="B35" s="269"/>
      <c r="C35" s="164" t="s">
        <v>8</v>
      </c>
      <c r="D35" s="165" t="s">
        <v>8</v>
      </c>
      <c r="E35" s="166" t="s">
        <v>61</v>
      </c>
      <c r="F35" s="270">
        <v>0</v>
      </c>
      <c r="G35" s="271"/>
      <c r="H35" s="272">
        <v>0</v>
      </c>
      <c r="I35" s="273"/>
      <c r="J35" s="274"/>
      <c r="K35" s="107"/>
    </row>
    <row r="36" spans="1:13" s="69" customFormat="1" ht="24">
      <c r="A36" s="254" t="s">
        <v>62</v>
      </c>
      <c r="B36" s="255"/>
      <c r="C36" s="167" t="s">
        <v>6</v>
      </c>
      <c r="D36" s="168">
        <v>1</v>
      </c>
      <c r="E36" s="169" t="s">
        <v>7</v>
      </c>
      <c r="F36" s="256">
        <v>0</v>
      </c>
      <c r="G36" s="257"/>
      <c r="H36" s="257"/>
      <c r="I36" s="257"/>
      <c r="J36" s="258"/>
      <c r="K36" s="163"/>
    </row>
    <row r="37" spans="1:13" s="69" customFormat="1" ht="24.75" thickBot="1">
      <c r="A37" s="259" t="s">
        <v>63</v>
      </c>
      <c r="B37" s="260"/>
      <c r="C37" s="261">
        <f>(J33+J34+H35+F36)</f>
        <v>3600</v>
      </c>
      <c r="D37" s="262"/>
      <c r="E37" s="262"/>
      <c r="F37" s="262"/>
      <c r="G37" s="262"/>
      <c r="H37" s="262"/>
      <c r="I37" s="262"/>
      <c r="J37" s="263"/>
      <c r="K37" s="163"/>
      <c r="L37" s="74"/>
    </row>
    <row r="38" spans="1:13" s="69" customFormat="1" ht="24.75" thickBot="1">
      <c r="A38" s="264" t="str">
        <f>BAHTTEXT(C37)</f>
        <v>สามพันหกร้อยบาทถ้วน</v>
      </c>
      <c r="B38" s="265"/>
      <c r="C38" s="265"/>
      <c r="D38" s="265"/>
      <c r="E38" s="265"/>
      <c r="F38" s="265"/>
      <c r="G38" s="265"/>
      <c r="H38" s="265"/>
      <c r="I38" s="265"/>
      <c r="J38" s="266"/>
      <c r="K38" s="163"/>
    </row>
    <row r="41" spans="1:13" s="171" customFormat="1" ht="24">
      <c r="A41" s="267" t="s">
        <v>64</v>
      </c>
      <c r="B41" s="267"/>
      <c r="C41" s="170"/>
      <c r="D41" s="170"/>
      <c r="E41" s="253" t="s">
        <v>125</v>
      </c>
      <c r="F41" s="253"/>
      <c r="G41" s="253"/>
      <c r="H41" s="253"/>
      <c r="I41" s="253"/>
      <c r="J41" s="253"/>
      <c r="K41" s="170"/>
    </row>
    <row r="42" spans="1:13" s="171" customFormat="1" ht="24">
      <c r="A42" s="253" t="s">
        <v>79</v>
      </c>
      <c r="B42" s="253"/>
      <c r="C42" s="170"/>
      <c r="D42" s="170"/>
      <c r="E42" s="253" t="s">
        <v>154</v>
      </c>
      <c r="F42" s="253"/>
      <c r="G42" s="253"/>
      <c r="H42" s="253"/>
      <c r="I42" s="253"/>
      <c r="J42" s="253"/>
      <c r="K42" s="170"/>
    </row>
    <row r="43" spans="1:13" s="171" customFormat="1" ht="24">
      <c r="A43" s="253" t="s">
        <v>151</v>
      </c>
      <c r="B43" s="253"/>
      <c r="C43" s="170"/>
      <c r="D43" s="170"/>
      <c r="E43" s="253" t="s">
        <v>126</v>
      </c>
      <c r="F43" s="253"/>
      <c r="G43" s="253"/>
      <c r="H43" s="253"/>
      <c r="I43" s="253"/>
      <c r="J43" s="253"/>
      <c r="K43" s="170"/>
    </row>
    <row r="44" spans="1:13" ht="24">
      <c r="E44" s="253"/>
      <c r="F44" s="253"/>
      <c r="G44" s="253"/>
      <c r="H44" s="253"/>
      <c r="I44" s="253"/>
      <c r="J44" s="253"/>
    </row>
    <row r="49" spans="5:9">
      <c r="E49" s="212"/>
      <c r="F49" s="212"/>
      <c r="G49" s="212"/>
      <c r="H49" s="212"/>
      <c r="I49" s="212"/>
    </row>
    <row r="50" spans="5:9">
      <c r="E50" s="312"/>
      <c r="F50" s="312"/>
      <c r="G50" s="312"/>
      <c r="H50" s="312"/>
      <c r="I50" s="312"/>
    </row>
    <row r="51" spans="5:9">
      <c r="E51" s="1"/>
      <c r="F51" s="1"/>
      <c r="G51" s="1"/>
      <c r="H51" s="1"/>
      <c r="I51" s="1"/>
    </row>
  </sheetData>
  <mergeCells count="44">
    <mergeCell ref="E50:I50"/>
    <mergeCell ref="C24:I24"/>
    <mergeCell ref="C29:I29"/>
    <mergeCell ref="A41:B41"/>
    <mergeCell ref="A38:J38"/>
    <mergeCell ref="E41:J41"/>
    <mergeCell ref="A42:B42"/>
    <mergeCell ref="E49:I49"/>
    <mergeCell ref="C33:I33"/>
    <mergeCell ref="F36:J36"/>
    <mergeCell ref="A37:B37"/>
    <mergeCell ref="A35:B35"/>
    <mergeCell ref="C37:J37"/>
    <mergeCell ref="E43:J43"/>
    <mergeCell ref="E42:J42"/>
    <mergeCell ref="E44:J44"/>
    <mergeCell ref="C10:F10"/>
    <mergeCell ref="A11:J11"/>
    <mergeCell ref="A33:B33"/>
    <mergeCell ref="H35:J35"/>
    <mergeCell ref="C22:F22"/>
    <mergeCell ref="A34:B34"/>
    <mergeCell ref="C34:I34"/>
    <mergeCell ref="A23:J23"/>
    <mergeCell ref="C27:F27"/>
    <mergeCell ref="A28:J28"/>
    <mergeCell ref="C32:F32"/>
    <mergeCell ref="F35:G35"/>
    <mergeCell ref="A36:B36"/>
    <mergeCell ref="A43:B43"/>
    <mergeCell ref="A1:J1"/>
    <mergeCell ref="A2:B2"/>
    <mergeCell ref="C2:G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H2:J2"/>
    <mergeCell ref="A6:J6"/>
  </mergeCells>
  <phoneticPr fontId="22" type="noConversion"/>
  <conditionalFormatting sqref="F36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5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5" right="0.25" top="0.75" bottom="0.75" header="0.3" footer="0.3"/>
  <pageSetup paperSize="9" scale="68" orientation="portrait" horizontalDpi="4294967293" r:id="rId1"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50"/>
  </sheetPr>
  <dimension ref="A1:M47"/>
  <sheetViews>
    <sheetView zoomScale="120" zoomScaleNormal="120" workbookViewId="0">
      <selection activeCell="K7" sqref="K7"/>
    </sheetView>
  </sheetViews>
  <sheetFormatPr defaultColWidth="9" defaultRowHeight="21"/>
  <cols>
    <col min="1" max="1" width="5.75" style="14" customWidth="1"/>
    <col min="2" max="2" width="44.875" style="14" customWidth="1"/>
    <col min="3" max="3" width="8.625" style="14" customWidth="1"/>
    <col min="4" max="6" width="7.625" style="14" customWidth="1"/>
    <col min="7" max="7" width="8.625" style="14" customWidth="1"/>
    <col min="8" max="8" width="7.625" style="14" customWidth="1"/>
    <col min="9" max="9" width="8.625" style="14" customWidth="1"/>
    <col min="10" max="10" width="9.625" style="14" customWidth="1"/>
    <col min="11" max="16384" width="9" style="14"/>
  </cols>
  <sheetData>
    <row r="1" spans="1:11" s="197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193"/>
    </row>
    <row r="2" spans="1:11" s="197" customFormat="1" ht="24">
      <c r="A2" s="253" t="s">
        <v>34</v>
      </c>
      <c r="B2" s="253"/>
      <c r="C2" s="253" t="s">
        <v>144</v>
      </c>
      <c r="D2" s="253"/>
      <c r="E2" s="253"/>
      <c r="F2" s="253"/>
      <c r="G2" s="253"/>
      <c r="H2" s="299" t="s">
        <v>107</v>
      </c>
      <c r="I2" s="299"/>
      <c r="J2" s="299"/>
      <c r="K2" s="195"/>
    </row>
    <row r="3" spans="1:11" s="197" customFormat="1" ht="24">
      <c r="A3" s="308" t="s">
        <v>161</v>
      </c>
      <c r="B3" s="308"/>
      <c r="C3" s="308"/>
      <c r="D3" s="308"/>
      <c r="E3" s="308"/>
      <c r="F3" s="308"/>
      <c r="G3" s="308"/>
      <c r="H3" s="308"/>
      <c r="I3" s="308"/>
      <c r="J3" s="308"/>
      <c r="K3" s="194"/>
    </row>
    <row r="4" spans="1:11" s="12" customFormat="1" ht="24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  <c r="K4" s="97"/>
    </row>
    <row r="5" spans="1:11" s="12" customFormat="1" ht="24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  <c r="K5" s="97"/>
    </row>
    <row r="6" spans="1:11" ht="24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  <c r="K6" s="99"/>
    </row>
    <row r="7" spans="1:11" s="19" customFormat="1" ht="24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92">
        <v>1003</v>
      </c>
      <c r="G7" s="105">
        <f>D7*F7</f>
        <v>1003</v>
      </c>
      <c r="H7" s="105">
        <v>100</v>
      </c>
      <c r="I7" s="105">
        <f>D7*H7</f>
        <v>100</v>
      </c>
      <c r="J7" s="106"/>
      <c r="K7" s="107"/>
    </row>
    <row r="8" spans="1:11" s="26" customFormat="1" ht="24">
      <c r="A8" s="108"/>
      <c r="B8" s="109" t="s">
        <v>50</v>
      </c>
      <c r="C8" s="109"/>
      <c r="D8" s="109"/>
      <c r="E8" s="109"/>
      <c r="F8" s="110"/>
      <c r="G8" s="111">
        <f>SUM(G7:G7)</f>
        <v>1003</v>
      </c>
      <c r="H8" s="112"/>
      <c r="I8" s="112"/>
      <c r="J8" s="113"/>
      <c r="K8" s="107"/>
    </row>
    <row r="9" spans="1:11" s="26" customFormat="1" ht="24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  <c r="K9" s="114"/>
    </row>
    <row r="10" spans="1:11" s="26" customFormat="1" ht="24">
      <c r="A10" s="121"/>
      <c r="B10" s="122" t="s">
        <v>21</v>
      </c>
      <c r="C10" s="275"/>
      <c r="D10" s="276"/>
      <c r="E10" s="276"/>
      <c r="F10" s="277"/>
      <c r="G10" s="123">
        <f>SUM(G8:G9)</f>
        <v>1003</v>
      </c>
      <c r="H10" s="124"/>
      <c r="I10" s="123">
        <f>SUM(I7:I9)</f>
        <v>100</v>
      </c>
      <c r="J10" s="125"/>
      <c r="K10" s="114"/>
    </row>
    <row r="11" spans="1:11" ht="24">
      <c r="A11" s="282" t="s">
        <v>52</v>
      </c>
      <c r="B11" s="283"/>
      <c r="C11" s="283"/>
      <c r="D11" s="283"/>
      <c r="E11" s="283"/>
      <c r="F11" s="283"/>
      <c r="G11" s="283"/>
      <c r="H11" s="283"/>
      <c r="I11" s="283"/>
      <c r="J11" s="284"/>
      <c r="K11" s="99"/>
    </row>
    <row r="12" spans="1:11" s="19" customFormat="1" ht="24">
      <c r="A12" s="126"/>
      <c r="B12" s="127" t="s">
        <v>9</v>
      </c>
      <c r="C12" s="128">
        <v>20</v>
      </c>
      <c r="D12" s="129">
        <v>7</v>
      </c>
      <c r="E12" s="128" t="s">
        <v>10</v>
      </c>
      <c r="F12" s="129">
        <v>43</v>
      </c>
      <c r="G12" s="130">
        <f t="shared" ref="G12:G19" si="0">F12*D12</f>
        <v>301</v>
      </c>
      <c r="H12" s="131">
        <v>8</v>
      </c>
      <c r="I12" s="105">
        <f t="shared" ref="I12:I22" si="1">D12*H12</f>
        <v>56</v>
      </c>
      <c r="J12" s="132"/>
      <c r="K12" s="107"/>
    </row>
    <row r="13" spans="1:11" s="19" customFormat="1" ht="24">
      <c r="A13" s="126"/>
      <c r="B13" s="127" t="s">
        <v>103</v>
      </c>
      <c r="C13" s="128" t="s">
        <v>71</v>
      </c>
      <c r="D13" s="129">
        <v>6</v>
      </c>
      <c r="E13" s="128" t="s">
        <v>10</v>
      </c>
      <c r="F13" s="129">
        <v>160</v>
      </c>
      <c r="G13" s="130">
        <v>960</v>
      </c>
      <c r="H13" s="183">
        <v>17</v>
      </c>
      <c r="I13" s="105">
        <v>102</v>
      </c>
      <c r="J13" s="132"/>
      <c r="K13" s="107"/>
    </row>
    <row r="14" spans="1:11" s="19" customFormat="1" ht="24">
      <c r="A14" s="126"/>
      <c r="B14" s="127" t="s">
        <v>92</v>
      </c>
      <c r="C14" s="128" t="s">
        <v>25</v>
      </c>
      <c r="D14" s="129">
        <v>1</v>
      </c>
      <c r="E14" s="128" t="s">
        <v>13</v>
      </c>
      <c r="F14" s="129">
        <v>450</v>
      </c>
      <c r="G14" s="130">
        <f t="shared" si="0"/>
        <v>450</v>
      </c>
      <c r="H14" s="183">
        <v>280</v>
      </c>
      <c r="I14" s="105">
        <f t="shared" si="1"/>
        <v>280</v>
      </c>
      <c r="J14" s="132"/>
      <c r="K14" s="107"/>
    </row>
    <row r="15" spans="1:11" s="19" customFormat="1" ht="24">
      <c r="A15" s="126"/>
      <c r="B15" s="127" t="s">
        <v>23</v>
      </c>
      <c r="C15" s="128" t="s">
        <v>24</v>
      </c>
      <c r="D15" s="129">
        <v>1</v>
      </c>
      <c r="E15" s="128" t="s">
        <v>15</v>
      </c>
      <c r="F15" s="129">
        <v>85</v>
      </c>
      <c r="G15" s="130">
        <f t="shared" si="0"/>
        <v>85</v>
      </c>
      <c r="H15" s="183">
        <v>0</v>
      </c>
      <c r="I15" s="105">
        <f t="shared" si="1"/>
        <v>0</v>
      </c>
      <c r="J15" s="132"/>
      <c r="K15" s="107"/>
    </row>
    <row r="16" spans="1:11" s="19" customFormat="1" ht="24">
      <c r="A16" s="126"/>
      <c r="B16" s="127" t="s">
        <v>16</v>
      </c>
      <c r="C16" s="128">
        <v>20</v>
      </c>
      <c r="D16" s="129">
        <v>2</v>
      </c>
      <c r="E16" s="128" t="s">
        <v>15</v>
      </c>
      <c r="F16" s="129">
        <v>74</v>
      </c>
      <c r="G16" s="135">
        <f t="shared" si="0"/>
        <v>148</v>
      </c>
      <c r="H16" s="183">
        <v>0</v>
      </c>
      <c r="I16" s="105">
        <f t="shared" si="1"/>
        <v>0</v>
      </c>
      <c r="J16" s="132"/>
      <c r="K16" s="107"/>
    </row>
    <row r="17" spans="1:11" s="19" customFormat="1" ht="24">
      <c r="A17" s="126"/>
      <c r="B17" s="127" t="s">
        <v>14</v>
      </c>
      <c r="C17" s="128" t="s">
        <v>20</v>
      </c>
      <c r="D17" s="129">
        <v>2</v>
      </c>
      <c r="E17" s="128" t="s">
        <v>15</v>
      </c>
      <c r="F17" s="129">
        <v>189</v>
      </c>
      <c r="G17" s="135">
        <f t="shared" si="0"/>
        <v>378</v>
      </c>
      <c r="H17" s="183">
        <v>0</v>
      </c>
      <c r="I17" s="105">
        <f t="shared" si="1"/>
        <v>0</v>
      </c>
      <c r="J17" s="132"/>
      <c r="K17" s="107"/>
    </row>
    <row r="18" spans="1:11" s="19" customFormat="1" ht="24">
      <c r="A18" s="126"/>
      <c r="B18" s="127" t="s">
        <v>19</v>
      </c>
      <c r="C18" s="128" t="s">
        <v>6</v>
      </c>
      <c r="D18" s="129">
        <v>1</v>
      </c>
      <c r="E18" s="128" t="s">
        <v>15</v>
      </c>
      <c r="F18" s="129">
        <v>68</v>
      </c>
      <c r="G18" s="130">
        <f>F18*D18</f>
        <v>68</v>
      </c>
      <c r="H18" s="184">
        <v>0</v>
      </c>
      <c r="I18" s="105">
        <f t="shared" si="1"/>
        <v>0</v>
      </c>
      <c r="J18" s="132"/>
      <c r="K18" s="107"/>
    </row>
    <row r="19" spans="1:11" s="19" customFormat="1" ht="24">
      <c r="A19" s="126"/>
      <c r="B19" s="127" t="s">
        <v>35</v>
      </c>
      <c r="C19" s="128" t="s">
        <v>20</v>
      </c>
      <c r="D19" s="129">
        <v>1</v>
      </c>
      <c r="E19" s="128" t="s">
        <v>15</v>
      </c>
      <c r="F19" s="129">
        <v>81</v>
      </c>
      <c r="G19" s="130">
        <f t="shared" si="0"/>
        <v>81</v>
      </c>
      <c r="H19" s="183">
        <v>0</v>
      </c>
      <c r="I19" s="105">
        <f t="shared" si="1"/>
        <v>0</v>
      </c>
      <c r="J19" s="132"/>
      <c r="K19" s="107"/>
    </row>
    <row r="20" spans="1:11" s="19" customFormat="1" ht="24">
      <c r="A20" s="126"/>
      <c r="B20" s="127" t="s">
        <v>17</v>
      </c>
      <c r="C20" s="128"/>
      <c r="D20" s="129">
        <v>1</v>
      </c>
      <c r="E20" s="128" t="s">
        <v>18</v>
      </c>
      <c r="F20" s="129">
        <v>12</v>
      </c>
      <c r="G20" s="130">
        <f>F20*D20</f>
        <v>12</v>
      </c>
      <c r="H20" s="183">
        <v>0</v>
      </c>
      <c r="I20" s="105">
        <f t="shared" si="1"/>
        <v>0</v>
      </c>
      <c r="J20" s="132"/>
      <c r="K20" s="107"/>
    </row>
    <row r="21" spans="1:11" s="19" customFormat="1" ht="24">
      <c r="A21" s="126"/>
      <c r="B21" s="127" t="s">
        <v>36</v>
      </c>
      <c r="C21" s="128"/>
      <c r="D21" s="129">
        <v>1</v>
      </c>
      <c r="E21" s="128" t="s">
        <v>13</v>
      </c>
      <c r="F21" s="129">
        <v>3</v>
      </c>
      <c r="G21" s="130">
        <f>F21*D21</f>
        <v>3</v>
      </c>
      <c r="H21" s="183">
        <v>0</v>
      </c>
      <c r="I21" s="105">
        <f t="shared" si="1"/>
        <v>0</v>
      </c>
      <c r="J21" s="132"/>
      <c r="K21" s="107"/>
    </row>
    <row r="22" spans="1:11" s="19" customFormat="1" ht="24">
      <c r="A22" s="126"/>
      <c r="B22" s="127" t="s">
        <v>158</v>
      </c>
      <c r="C22" s="128"/>
      <c r="D22" s="129">
        <v>0.85</v>
      </c>
      <c r="E22" s="128" t="s">
        <v>37</v>
      </c>
      <c r="F22" s="129">
        <v>520</v>
      </c>
      <c r="G22" s="130">
        <f>F22*D22</f>
        <v>442</v>
      </c>
      <c r="H22" s="184">
        <v>0</v>
      </c>
      <c r="I22" s="105">
        <f t="shared" si="1"/>
        <v>0</v>
      </c>
      <c r="J22" s="132"/>
      <c r="K22" s="107"/>
    </row>
    <row r="23" spans="1:11" s="26" customFormat="1" ht="24">
      <c r="A23" s="108"/>
      <c r="B23" s="109" t="s">
        <v>50</v>
      </c>
      <c r="C23" s="109"/>
      <c r="D23" s="109"/>
      <c r="E23" s="109"/>
      <c r="F23" s="110"/>
      <c r="G23" s="111">
        <f>SUM(G12:G22)</f>
        <v>2928</v>
      </c>
      <c r="H23" s="185"/>
      <c r="I23" s="133">
        <f>SUM(I12:I22)</f>
        <v>438</v>
      </c>
      <c r="J23" s="113"/>
      <c r="K23" s="114"/>
    </row>
    <row r="24" spans="1:11" s="26" customFormat="1" ht="24">
      <c r="A24" s="115"/>
      <c r="B24" s="116" t="s">
        <v>51</v>
      </c>
      <c r="C24" s="116"/>
      <c r="D24" s="116"/>
      <c r="E24" s="116"/>
      <c r="F24" s="117"/>
      <c r="G24" s="118">
        <v>0</v>
      </c>
      <c r="H24" s="119"/>
      <c r="I24" s="136"/>
      <c r="J24" s="120"/>
      <c r="K24" s="114"/>
    </row>
    <row r="25" spans="1:11" s="26" customFormat="1" ht="24">
      <c r="A25" s="121"/>
      <c r="B25" s="122" t="s">
        <v>54</v>
      </c>
      <c r="C25" s="275"/>
      <c r="D25" s="276"/>
      <c r="E25" s="276"/>
      <c r="F25" s="277"/>
      <c r="G25" s="123">
        <f>SUM(G23:G24)</f>
        <v>2928</v>
      </c>
      <c r="H25" s="124"/>
      <c r="I25" s="123">
        <f>SUM(I23:I24)</f>
        <v>438</v>
      </c>
      <c r="J25" s="125"/>
      <c r="K25" s="114"/>
    </row>
    <row r="26" spans="1:11" s="19" customFormat="1" ht="24">
      <c r="A26" s="254" t="s">
        <v>55</v>
      </c>
      <c r="B26" s="278"/>
      <c r="C26" s="278"/>
      <c r="D26" s="278"/>
      <c r="E26" s="278"/>
      <c r="F26" s="278"/>
      <c r="G26" s="278"/>
      <c r="H26" s="278"/>
      <c r="I26" s="278"/>
      <c r="J26" s="255"/>
      <c r="K26" s="107"/>
    </row>
    <row r="27" spans="1:11" s="19" customFormat="1" ht="24">
      <c r="A27" s="137"/>
      <c r="B27" s="138"/>
      <c r="C27" s="279" t="s">
        <v>53</v>
      </c>
      <c r="D27" s="280"/>
      <c r="E27" s="280"/>
      <c r="F27" s="280"/>
      <c r="G27" s="280"/>
      <c r="H27" s="280"/>
      <c r="I27" s="281"/>
      <c r="J27" s="139"/>
      <c r="K27" s="107"/>
    </row>
    <row r="28" spans="1:11" s="26" customFormat="1" ht="24">
      <c r="A28" s="108"/>
      <c r="B28" s="109" t="s">
        <v>50</v>
      </c>
      <c r="C28" s="109"/>
      <c r="D28" s="109"/>
      <c r="E28" s="109"/>
      <c r="F28" s="110"/>
      <c r="G28" s="140">
        <f>SUM(G27:G27)</f>
        <v>0</v>
      </c>
      <c r="H28" s="112"/>
      <c r="I28" s="112"/>
      <c r="J28" s="113"/>
      <c r="K28" s="114"/>
    </row>
    <row r="29" spans="1:11" s="26" customFormat="1" ht="24">
      <c r="A29" s="115"/>
      <c r="B29" s="116" t="s">
        <v>51</v>
      </c>
      <c r="C29" s="116"/>
      <c r="D29" s="116"/>
      <c r="E29" s="116"/>
      <c r="F29" s="117"/>
      <c r="G29" s="118">
        <f>G28*10%</f>
        <v>0</v>
      </c>
      <c r="H29" s="119"/>
      <c r="I29" s="119"/>
      <c r="J29" s="120"/>
      <c r="K29" s="114"/>
    </row>
    <row r="30" spans="1:11" s="26" customFormat="1" ht="24">
      <c r="A30" s="141"/>
      <c r="B30" s="122" t="s">
        <v>56</v>
      </c>
      <c r="C30" s="275"/>
      <c r="D30" s="276"/>
      <c r="E30" s="276"/>
      <c r="F30" s="277"/>
      <c r="G30" s="123">
        <f>SUM(G28:G29)</f>
        <v>0</v>
      </c>
      <c r="H30" s="124"/>
      <c r="I30" s="142">
        <f>SUM(I27:I29)</f>
        <v>0</v>
      </c>
      <c r="J30" s="143">
        <f>I30+G30</f>
        <v>0</v>
      </c>
      <c r="K30" s="114"/>
    </row>
    <row r="31" spans="1:11" s="19" customFormat="1" ht="24">
      <c r="A31" s="282" t="s">
        <v>57</v>
      </c>
      <c r="B31" s="283"/>
      <c r="C31" s="283"/>
      <c r="D31" s="283"/>
      <c r="E31" s="283"/>
      <c r="F31" s="283"/>
      <c r="G31" s="283"/>
      <c r="H31" s="283"/>
      <c r="I31" s="283"/>
      <c r="J31" s="284"/>
      <c r="K31" s="107"/>
    </row>
    <row r="32" spans="1:11" s="19" customFormat="1" ht="24">
      <c r="A32" s="137"/>
      <c r="B32" s="138"/>
      <c r="C32" s="279" t="s">
        <v>53</v>
      </c>
      <c r="D32" s="280"/>
      <c r="E32" s="280"/>
      <c r="F32" s="280"/>
      <c r="G32" s="280"/>
      <c r="H32" s="280"/>
      <c r="I32" s="281"/>
      <c r="J32" s="139"/>
      <c r="K32" s="107"/>
    </row>
    <row r="33" spans="1:13" s="19" customFormat="1" ht="24">
      <c r="A33" s="144"/>
      <c r="B33" s="145" t="s">
        <v>50</v>
      </c>
      <c r="C33" s="145"/>
      <c r="D33" s="145"/>
      <c r="E33" s="145"/>
      <c r="F33" s="130"/>
      <c r="G33" s="111">
        <f>SUM(G32:G32)</f>
        <v>0</v>
      </c>
      <c r="H33" s="146"/>
      <c r="I33" s="146"/>
      <c r="J33" s="147"/>
      <c r="K33" s="107"/>
    </row>
    <row r="34" spans="1:13" s="19" customFormat="1" ht="24">
      <c r="A34" s="148"/>
      <c r="B34" s="149" t="s">
        <v>51</v>
      </c>
      <c r="C34" s="149"/>
      <c r="D34" s="149"/>
      <c r="E34" s="149"/>
      <c r="F34" s="150"/>
      <c r="G34" s="151">
        <f>G33*10%</f>
        <v>0</v>
      </c>
      <c r="H34" s="152"/>
      <c r="I34" s="152"/>
      <c r="J34" s="153"/>
      <c r="K34" s="107"/>
    </row>
    <row r="35" spans="1:13" s="19" customFormat="1" ht="24">
      <c r="A35" s="154"/>
      <c r="B35" s="155" t="s">
        <v>58</v>
      </c>
      <c r="C35" s="285"/>
      <c r="D35" s="286"/>
      <c r="E35" s="286"/>
      <c r="F35" s="287"/>
      <c r="G35" s="156">
        <f>SUM(G33:G34)</f>
        <v>0</v>
      </c>
      <c r="H35" s="157"/>
      <c r="I35" s="158">
        <f>SUM(I32:I34)</f>
        <v>0</v>
      </c>
      <c r="J35" s="159">
        <f>I35+G35</f>
        <v>0</v>
      </c>
      <c r="K35" s="107"/>
    </row>
    <row r="36" spans="1:13" s="26" customFormat="1" ht="24">
      <c r="A36" s="309" t="s">
        <v>124</v>
      </c>
      <c r="B36" s="310"/>
      <c r="C36" s="290"/>
      <c r="D36" s="291"/>
      <c r="E36" s="291"/>
      <c r="F36" s="291"/>
      <c r="G36" s="291"/>
      <c r="H36" s="291"/>
      <c r="I36" s="292"/>
      <c r="J36" s="160">
        <v>3600</v>
      </c>
      <c r="K36" s="161"/>
      <c r="L36" s="66"/>
      <c r="M36" s="67"/>
    </row>
    <row r="37" spans="1:13" s="69" customFormat="1" ht="24">
      <c r="A37" s="293" t="s">
        <v>59</v>
      </c>
      <c r="B37" s="294"/>
      <c r="C37" s="295"/>
      <c r="D37" s="296"/>
      <c r="E37" s="296"/>
      <c r="F37" s="296"/>
      <c r="G37" s="296"/>
      <c r="H37" s="296"/>
      <c r="I37" s="297"/>
      <c r="J37" s="162">
        <v>0</v>
      </c>
      <c r="K37" s="163"/>
    </row>
    <row r="38" spans="1:13" s="19" customFormat="1" ht="24">
      <c r="A38" s="268" t="s">
        <v>60</v>
      </c>
      <c r="B38" s="269"/>
      <c r="C38" s="164" t="s">
        <v>8</v>
      </c>
      <c r="D38" s="165" t="s">
        <v>8</v>
      </c>
      <c r="E38" s="166" t="s">
        <v>61</v>
      </c>
      <c r="F38" s="270">
        <v>0</v>
      </c>
      <c r="G38" s="271"/>
      <c r="H38" s="272">
        <v>0</v>
      </c>
      <c r="I38" s="273"/>
      <c r="J38" s="274"/>
      <c r="K38" s="107"/>
    </row>
    <row r="39" spans="1:13" s="69" customFormat="1" ht="24">
      <c r="A39" s="254" t="s">
        <v>62</v>
      </c>
      <c r="B39" s="255"/>
      <c r="C39" s="167" t="s">
        <v>6</v>
      </c>
      <c r="D39" s="168">
        <v>1</v>
      </c>
      <c r="E39" s="169" t="s">
        <v>7</v>
      </c>
      <c r="F39" s="256">
        <v>0</v>
      </c>
      <c r="G39" s="257"/>
      <c r="H39" s="257"/>
      <c r="I39" s="257"/>
      <c r="J39" s="258"/>
      <c r="K39" s="163"/>
    </row>
    <row r="40" spans="1:13" s="69" customFormat="1" ht="24.75" thickBot="1">
      <c r="A40" s="259" t="s">
        <v>63</v>
      </c>
      <c r="B40" s="260"/>
      <c r="C40" s="261">
        <f>(J36+J37+H38+F39)</f>
        <v>3600</v>
      </c>
      <c r="D40" s="262"/>
      <c r="E40" s="262"/>
      <c r="F40" s="262"/>
      <c r="G40" s="262"/>
      <c r="H40" s="262"/>
      <c r="I40" s="262"/>
      <c r="J40" s="263"/>
      <c r="K40" s="163"/>
      <c r="L40" s="74"/>
    </row>
    <row r="41" spans="1:13" s="69" customFormat="1" ht="24.75" thickBot="1">
      <c r="A41" s="264" t="str">
        <f>BAHTTEXT(C40)</f>
        <v>สามพันหกร้อยบาทถ้วน</v>
      </c>
      <c r="B41" s="265"/>
      <c r="C41" s="265"/>
      <c r="D41" s="265"/>
      <c r="E41" s="265"/>
      <c r="F41" s="265"/>
      <c r="G41" s="265"/>
      <c r="H41" s="265"/>
      <c r="I41" s="265"/>
      <c r="J41" s="266"/>
      <c r="K41" s="163"/>
    </row>
    <row r="44" spans="1:13" s="171" customFormat="1" ht="24">
      <c r="A44" s="267" t="s">
        <v>64</v>
      </c>
      <c r="B44" s="267"/>
      <c r="C44" s="196"/>
      <c r="D44" s="196"/>
      <c r="E44" s="253" t="s">
        <v>85</v>
      </c>
      <c r="F44" s="253"/>
      <c r="G44" s="253"/>
      <c r="H44" s="253"/>
      <c r="I44" s="253"/>
      <c r="J44" s="253"/>
      <c r="K44" s="196"/>
    </row>
    <row r="45" spans="1:13" s="171" customFormat="1" ht="24">
      <c r="A45" s="253" t="s">
        <v>79</v>
      </c>
      <c r="B45" s="253"/>
      <c r="C45" s="196"/>
      <c r="D45" s="196"/>
      <c r="E45" s="253" t="s">
        <v>154</v>
      </c>
      <c r="F45" s="253"/>
      <c r="G45" s="253"/>
      <c r="H45" s="253"/>
      <c r="I45" s="253"/>
      <c r="J45" s="253"/>
      <c r="K45" s="196"/>
    </row>
    <row r="46" spans="1:13" s="171" customFormat="1" ht="24">
      <c r="A46" s="253" t="s">
        <v>151</v>
      </c>
      <c r="B46" s="253"/>
      <c r="C46" s="196"/>
      <c r="D46" s="196"/>
      <c r="E46" s="253" t="s">
        <v>126</v>
      </c>
      <c r="F46" s="253"/>
      <c r="G46" s="253"/>
      <c r="H46" s="253"/>
      <c r="I46" s="253"/>
      <c r="J46" s="253"/>
      <c r="K46" s="196"/>
    </row>
    <row r="47" spans="1:13" ht="24">
      <c r="E47" s="253"/>
      <c r="F47" s="253"/>
      <c r="G47" s="253"/>
      <c r="H47" s="253"/>
      <c r="I47" s="253"/>
      <c r="J47" s="253"/>
    </row>
  </sheetData>
  <mergeCells count="42">
    <mergeCell ref="A45:B45"/>
    <mergeCell ref="E45:J45"/>
    <mergeCell ref="A46:B46"/>
    <mergeCell ref="E46:J46"/>
    <mergeCell ref="E47:J47"/>
    <mergeCell ref="A31:J31"/>
    <mergeCell ref="A44:B44"/>
    <mergeCell ref="E44:J44"/>
    <mergeCell ref="C35:F35"/>
    <mergeCell ref="A36:B36"/>
    <mergeCell ref="C36:I36"/>
    <mergeCell ref="A37:B37"/>
    <mergeCell ref="C37:I37"/>
    <mergeCell ref="A38:B38"/>
    <mergeCell ref="F38:G38"/>
    <mergeCell ref="H38:J38"/>
    <mergeCell ref="A39:B39"/>
    <mergeCell ref="F39:J39"/>
    <mergeCell ref="A40:B40"/>
    <mergeCell ref="C40:J40"/>
    <mergeCell ref="A41:J41"/>
    <mergeCell ref="C32:I32"/>
    <mergeCell ref="F4:G4"/>
    <mergeCell ref="H4:I4"/>
    <mergeCell ref="J4:J5"/>
    <mergeCell ref="A6:J6"/>
    <mergeCell ref="C10:F10"/>
    <mergeCell ref="A11:J11"/>
    <mergeCell ref="A4:A5"/>
    <mergeCell ref="B4:B5"/>
    <mergeCell ref="C4:C5"/>
    <mergeCell ref="D4:D5"/>
    <mergeCell ref="E4:E5"/>
    <mergeCell ref="C25:F25"/>
    <mergeCell ref="A26:J26"/>
    <mergeCell ref="C27:I27"/>
    <mergeCell ref="C30:F30"/>
    <mergeCell ref="A1:J1"/>
    <mergeCell ref="A2:B2"/>
    <mergeCell ref="C2:G2"/>
    <mergeCell ref="H2:J2"/>
    <mergeCell ref="A3:J3"/>
  </mergeCells>
  <conditionalFormatting sqref="F39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8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5" right="0.25" top="0.75" bottom="0.75" header="0.3" footer="0.3"/>
  <pageSetup paperSize="9" scale="63" orientation="portrait" horizontalDpi="4294967293" r:id="rId1"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050"/>
  </sheetPr>
  <dimension ref="A1:M46"/>
  <sheetViews>
    <sheetView tabSelected="1" view="pageBreakPreview" zoomScale="120" zoomScaleNormal="130" zoomScaleSheetLayoutView="120" workbookViewId="0">
      <selection activeCell="K11" sqref="K11"/>
    </sheetView>
  </sheetViews>
  <sheetFormatPr defaultColWidth="9" defaultRowHeight="21"/>
  <cols>
    <col min="1" max="1" width="5.75" style="14" customWidth="1"/>
    <col min="2" max="2" width="44.875" style="14" customWidth="1"/>
    <col min="3" max="3" width="8.625" style="14" customWidth="1"/>
    <col min="4" max="6" width="7.625" style="14" customWidth="1"/>
    <col min="7" max="7" width="8.625" style="14" customWidth="1"/>
    <col min="8" max="8" width="7.625" style="14" customWidth="1"/>
    <col min="9" max="9" width="8.625" style="14" customWidth="1"/>
    <col min="10" max="10" width="9.625" style="14" customWidth="1"/>
    <col min="11" max="16384" width="9" style="14"/>
  </cols>
  <sheetData>
    <row r="1" spans="1:11" s="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" customFormat="1" ht="24">
      <c r="A2" s="253" t="s">
        <v>34</v>
      </c>
      <c r="B2" s="253"/>
      <c r="C2" s="253" t="s">
        <v>171</v>
      </c>
      <c r="D2" s="253"/>
      <c r="E2" s="253"/>
      <c r="F2" s="253"/>
      <c r="G2" s="253"/>
      <c r="H2" s="299" t="s">
        <v>107</v>
      </c>
      <c r="I2" s="299"/>
      <c r="J2" s="299"/>
      <c r="K2" s="96"/>
    </row>
    <row r="3" spans="1:11" s="1" customFormat="1" ht="24">
      <c r="A3" s="308" t="s">
        <v>170</v>
      </c>
      <c r="B3" s="308"/>
      <c r="C3" s="308"/>
      <c r="D3" s="308"/>
      <c r="E3" s="308"/>
      <c r="F3" s="308"/>
      <c r="G3" s="308"/>
      <c r="H3" s="308"/>
      <c r="I3" s="308"/>
      <c r="J3" s="308"/>
      <c r="K3" s="95"/>
    </row>
    <row r="4" spans="1:11" s="12" customFormat="1" ht="24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  <c r="K4" s="97"/>
    </row>
    <row r="5" spans="1:11" s="12" customFormat="1" ht="24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  <c r="K5" s="97"/>
    </row>
    <row r="6" spans="1:11" ht="24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  <c r="K6" s="99"/>
    </row>
    <row r="7" spans="1:11" s="19" customFormat="1" ht="24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92">
        <v>1003</v>
      </c>
      <c r="G7" s="105">
        <f>D7*F7</f>
        <v>1003</v>
      </c>
      <c r="H7" s="105">
        <v>100</v>
      </c>
      <c r="I7" s="105">
        <f>D7*H7</f>
        <v>100</v>
      </c>
      <c r="J7" s="106"/>
      <c r="K7" s="107"/>
    </row>
    <row r="8" spans="1:11" s="26" customFormat="1" ht="24">
      <c r="A8" s="108"/>
      <c r="B8" s="109" t="s">
        <v>50</v>
      </c>
      <c r="C8" s="109"/>
      <c r="D8" s="109"/>
      <c r="E8" s="109"/>
      <c r="F8" s="110"/>
      <c r="G8" s="111">
        <f>SUM(G7:G7)</f>
        <v>1003</v>
      </c>
      <c r="H8" s="112"/>
      <c r="I8" s="112"/>
      <c r="J8" s="113"/>
      <c r="K8" s="107"/>
    </row>
    <row r="9" spans="1:11" s="26" customFormat="1" ht="24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  <c r="K9" s="114"/>
    </row>
    <row r="10" spans="1:11" s="26" customFormat="1" ht="24">
      <c r="A10" s="121"/>
      <c r="B10" s="122" t="s">
        <v>21</v>
      </c>
      <c r="C10" s="275"/>
      <c r="D10" s="276"/>
      <c r="E10" s="276"/>
      <c r="F10" s="277"/>
      <c r="G10" s="123">
        <f>SUM(G8:G9)</f>
        <v>1003</v>
      </c>
      <c r="H10" s="124"/>
      <c r="I10" s="123">
        <f>SUM(I7:I9)</f>
        <v>100</v>
      </c>
      <c r="J10" s="125"/>
      <c r="K10" s="114"/>
    </row>
    <row r="11" spans="1:11" ht="24">
      <c r="A11" s="282" t="s">
        <v>52</v>
      </c>
      <c r="B11" s="283"/>
      <c r="C11" s="283"/>
      <c r="D11" s="283"/>
      <c r="E11" s="283"/>
      <c r="F11" s="283"/>
      <c r="G11" s="283"/>
      <c r="H11" s="283"/>
      <c r="I11" s="283"/>
      <c r="J11" s="284"/>
      <c r="K11" s="99"/>
    </row>
    <row r="12" spans="1:11" s="19" customFormat="1" ht="24">
      <c r="A12" s="126"/>
      <c r="B12" s="127" t="s">
        <v>9</v>
      </c>
      <c r="C12" s="128">
        <v>20</v>
      </c>
      <c r="D12" s="129">
        <v>2</v>
      </c>
      <c r="E12" s="128" t="s">
        <v>10</v>
      </c>
      <c r="F12" s="129">
        <v>43</v>
      </c>
      <c r="G12" s="130">
        <f t="shared" ref="G12:G18" si="0">F12*D12</f>
        <v>86</v>
      </c>
      <c r="H12" s="131">
        <v>8</v>
      </c>
      <c r="I12" s="105">
        <f t="shared" ref="I12:I21" si="1">D12*H12</f>
        <v>16</v>
      </c>
      <c r="J12" s="132"/>
      <c r="K12" s="107"/>
    </row>
    <row r="13" spans="1:11" s="19" customFormat="1" ht="24">
      <c r="A13" s="126"/>
      <c r="B13" s="127" t="s">
        <v>92</v>
      </c>
      <c r="C13" s="128" t="s">
        <v>25</v>
      </c>
      <c r="D13" s="129">
        <v>1</v>
      </c>
      <c r="E13" s="128" t="s">
        <v>13</v>
      </c>
      <c r="F13" s="129">
        <v>450</v>
      </c>
      <c r="G13" s="130">
        <f t="shared" si="0"/>
        <v>450</v>
      </c>
      <c r="H13" s="183">
        <v>280</v>
      </c>
      <c r="I13" s="105">
        <f t="shared" si="1"/>
        <v>280</v>
      </c>
      <c r="J13" s="132"/>
      <c r="K13" s="107"/>
    </row>
    <row r="14" spans="1:11" s="19" customFormat="1" ht="24">
      <c r="A14" s="126"/>
      <c r="B14" s="127" t="s">
        <v>23</v>
      </c>
      <c r="C14" s="128" t="s">
        <v>24</v>
      </c>
      <c r="D14" s="129">
        <v>1</v>
      </c>
      <c r="E14" s="128" t="s">
        <v>15</v>
      </c>
      <c r="F14" s="129">
        <v>85</v>
      </c>
      <c r="G14" s="130">
        <f t="shared" si="0"/>
        <v>85</v>
      </c>
      <c r="H14" s="183">
        <v>0</v>
      </c>
      <c r="I14" s="105">
        <f t="shared" si="1"/>
        <v>0</v>
      </c>
      <c r="J14" s="132"/>
      <c r="K14" s="107"/>
    </row>
    <row r="15" spans="1:11" s="19" customFormat="1" ht="24">
      <c r="A15" s="126"/>
      <c r="B15" s="127" t="s">
        <v>16</v>
      </c>
      <c r="C15" s="128">
        <v>20</v>
      </c>
      <c r="D15" s="129">
        <v>2</v>
      </c>
      <c r="E15" s="128" t="s">
        <v>15</v>
      </c>
      <c r="F15" s="129">
        <v>74</v>
      </c>
      <c r="G15" s="135">
        <f t="shared" si="0"/>
        <v>148</v>
      </c>
      <c r="H15" s="183">
        <v>0</v>
      </c>
      <c r="I15" s="105">
        <f t="shared" si="1"/>
        <v>0</v>
      </c>
      <c r="J15" s="132"/>
      <c r="K15" s="107"/>
    </row>
    <row r="16" spans="1:11" s="19" customFormat="1" ht="24">
      <c r="A16" s="126"/>
      <c r="B16" s="127" t="s">
        <v>14</v>
      </c>
      <c r="C16" s="128" t="s">
        <v>20</v>
      </c>
      <c r="D16" s="129">
        <v>2</v>
      </c>
      <c r="E16" s="128" t="s">
        <v>15</v>
      </c>
      <c r="F16" s="129">
        <v>189</v>
      </c>
      <c r="G16" s="135">
        <f t="shared" si="0"/>
        <v>378</v>
      </c>
      <c r="H16" s="183">
        <v>0</v>
      </c>
      <c r="I16" s="105">
        <f t="shared" si="1"/>
        <v>0</v>
      </c>
      <c r="J16" s="132"/>
      <c r="K16" s="107"/>
    </row>
    <row r="17" spans="1:11" s="19" customFormat="1" ht="24">
      <c r="A17" s="126"/>
      <c r="B17" s="127" t="s">
        <v>19</v>
      </c>
      <c r="C17" s="128" t="s">
        <v>6</v>
      </c>
      <c r="D17" s="129">
        <v>1</v>
      </c>
      <c r="E17" s="128" t="s">
        <v>15</v>
      </c>
      <c r="F17" s="129">
        <v>68</v>
      </c>
      <c r="G17" s="130">
        <f>F17*D17</f>
        <v>68</v>
      </c>
      <c r="H17" s="184">
        <v>0</v>
      </c>
      <c r="I17" s="105">
        <f t="shared" si="1"/>
        <v>0</v>
      </c>
      <c r="J17" s="132"/>
      <c r="K17" s="107"/>
    </row>
    <row r="18" spans="1:11" s="19" customFormat="1" ht="24">
      <c r="A18" s="126"/>
      <c r="B18" s="127" t="s">
        <v>35</v>
      </c>
      <c r="C18" s="128" t="s">
        <v>20</v>
      </c>
      <c r="D18" s="129">
        <v>1</v>
      </c>
      <c r="E18" s="128" t="s">
        <v>15</v>
      </c>
      <c r="F18" s="129">
        <v>81</v>
      </c>
      <c r="G18" s="130">
        <f t="shared" si="0"/>
        <v>81</v>
      </c>
      <c r="H18" s="183">
        <v>0</v>
      </c>
      <c r="I18" s="105">
        <f t="shared" si="1"/>
        <v>0</v>
      </c>
      <c r="J18" s="132"/>
      <c r="K18" s="107"/>
    </row>
    <row r="19" spans="1:11" s="19" customFormat="1" ht="24">
      <c r="A19" s="126"/>
      <c r="B19" s="127" t="s">
        <v>17</v>
      </c>
      <c r="C19" s="128"/>
      <c r="D19" s="129">
        <v>1</v>
      </c>
      <c r="E19" s="128" t="s">
        <v>18</v>
      </c>
      <c r="F19" s="129">
        <v>12</v>
      </c>
      <c r="G19" s="130">
        <f>F19*D19</f>
        <v>12</v>
      </c>
      <c r="H19" s="183">
        <v>0</v>
      </c>
      <c r="I19" s="105">
        <f t="shared" si="1"/>
        <v>0</v>
      </c>
      <c r="J19" s="132"/>
      <c r="K19" s="107"/>
    </row>
    <row r="20" spans="1:11" s="19" customFormat="1" ht="24">
      <c r="A20" s="126"/>
      <c r="B20" s="127" t="s">
        <v>36</v>
      </c>
      <c r="C20" s="128"/>
      <c r="D20" s="129">
        <v>1</v>
      </c>
      <c r="E20" s="128" t="s">
        <v>13</v>
      </c>
      <c r="F20" s="129">
        <v>3</v>
      </c>
      <c r="G20" s="130">
        <f>F20*D20</f>
        <v>3</v>
      </c>
      <c r="H20" s="183">
        <v>0</v>
      </c>
      <c r="I20" s="105">
        <f t="shared" si="1"/>
        <v>0</v>
      </c>
      <c r="J20" s="132"/>
      <c r="K20" s="107"/>
    </row>
    <row r="21" spans="1:11" s="19" customFormat="1" ht="24">
      <c r="A21" s="126"/>
      <c r="B21" s="127" t="s">
        <v>80</v>
      </c>
      <c r="C21" s="128"/>
      <c r="D21" s="129">
        <v>0.25</v>
      </c>
      <c r="E21" s="128" t="s">
        <v>37</v>
      </c>
      <c r="F21" s="129">
        <v>320</v>
      </c>
      <c r="G21" s="130">
        <f>F21*D21</f>
        <v>80</v>
      </c>
      <c r="H21" s="184">
        <v>0</v>
      </c>
      <c r="I21" s="105">
        <f t="shared" si="1"/>
        <v>0</v>
      </c>
      <c r="J21" s="132"/>
      <c r="K21" s="107"/>
    </row>
    <row r="22" spans="1:11" s="26" customFormat="1" ht="24">
      <c r="A22" s="108"/>
      <c r="B22" s="109" t="s">
        <v>50</v>
      </c>
      <c r="C22" s="109"/>
      <c r="D22" s="109"/>
      <c r="E22" s="109"/>
      <c r="F22" s="110"/>
      <c r="G22" s="111">
        <f>SUM(G12:G21)</f>
        <v>1391</v>
      </c>
      <c r="H22" s="185"/>
      <c r="I22" s="133">
        <f>SUM(I12:I21)</f>
        <v>296</v>
      </c>
      <c r="J22" s="113"/>
      <c r="K22" s="114"/>
    </row>
    <row r="23" spans="1:11" s="26" customFormat="1" ht="24">
      <c r="A23" s="115"/>
      <c r="B23" s="116" t="s">
        <v>51</v>
      </c>
      <c r="C23" s="116"/>
      <c r="D23" s="116"/>
      <c r="E23" s="116"/>
      <c r="F23" s="117"/>
      <c r="G23" s="118">
        <v>0</v>
      </c>
      <c r="H23" s="119"/>
      <c r="I23" s="136"/>
      <c r="J23" s="120"/>
      <c r="K23" s="114"/>
    </row>
    <row r="24" spans="1:11" s="26" customFormat="1" ht="24">
      <c r="A24" s="121"/>
      <c r="B24" s="122" t="s">
        <v>54</v>
      </c>
      <c r="C24" s="275"/>
      <c r="D24" s="276"/>
      <c r="E24" s="276"/>
      <c r="F24" s="277"/>
      <c r="G24" s="123">
        <f>SUM(G22:G23)</f>
        <v>1391</v>
      </c>
      <c r="H24" s="124"/>
      <c r="I24" s="123">
        <f>SUM(I22:I23)</f>
        <v>296</v>
      </c>
      <c r="J24" s="125"/>
      <c r="K24" s="114"/>
    </row>
    <row r="25" spans="1:11" s="19" customFormat="1" ht="24">
      <c r="A25" s="254" t="s">
        <v>55</v>
      </c>
      <c r="B25" s="278"/>
      <c r="C25" s="278"/>
      <c r="D25" s="278"/>
      <c r="E25" s="278"/>
      <c r="F25" s="278"/>
      <c r="G25" s="278"/>
      <c r="H25" s="278"/>
      <c r="I25" s="278"/>
      <c r="J25" s="255"/>
      <c r="K25" s="107"/>
    </row>
    <row r="26" spans="1:11" s="19" customFormat="1" ht="24">
      <c r="A26" s="137"/>
      <c r="B26" s="138"/>
      <c r="C26" s="279" t="s">
        <v>53</v>
      </c>
      <c r="D26" s="280"/>
      <c r="E26" s="280"/>
      <c r="F26" s="280"/>
      <c r="G26" s="280"/>
      <c r="H26" s="280"/>
      <c r="I26" s="281"/>
      <c r="J26" s="139"/>
      <c r="K26" s="107"/>
    </row>
    <row r="27" spans="1:11" s="26" customFormat="1" ht="24">
      <c r="A27" s="108"/>
      <c r="B27" s="109" t="s">
        <v>50</v>
      </c>
      <c r="C27" s="109"/>
      <c r="D27" s="109"/>
      <c r="E27" s="109"/>
      <c r="F27" s="110"/>
      <c r="G27" s="140">
        <f>SUM(G26:G26)</f>
        <v>0</v>
      </c>
      <c r="H27" s="112"/>
      <c r="I27" s="112"/>
      <c r="J27" s="113"/>
      <c r="K27" s="114"/>
    </row>
    <row r="28" spans="1:11" s="26" customFormat="1" ht="24">
      <c r="A28" s="115"/>
      <c r="B28" s="116" t="s">
        <v>51</v>
      </c>
      <c r="C28" s="116"/>
      <c r="D28" s="116"/>
      <c r="E28" s="116"/>
      <c r="F28" s="117"/>
      <c r="G28" s="118">
        <f>G27*10%</f>
        <v>0</v>
      </c>
      <c r="H28" s="119"/>
      <c r="I28" s="119"/>
      <c r="J28" s="120"/>
      <c r="K28" s="114"/>
    </row>
    <row r="29" spans="1:11" s="26" customFormat="1" ht="24">
      <c r="A29" s="141"/>
      <c r="B29" s="122" t="s">
        <v>56</v>
      </c>
      <c r="C29" s="275"/>
      <c r="D29" s="276"/>
      <c r="E29" s="276"/>
      <c r="F29" s="277"/>
      <c r="G29" s="123">
        <f>SUM(G27:G28)</f>
        <v>0</v>
      </c>
      <c r="H29" s="124"/>
      <c r="I29" s="142">
        <f>SUM(I26:I28)</f>
        <v>0</v>
      </c>
      <c r="J29" s="143">
        <f>I29+G29</f>
        <v>0</v>
      </c>
      <c r="K29" s="114"/>
    </row>
    <row r="30" spans="1:11" s="19" customFormat="1" ht="24">
      <c r="A30" s="282" t="s">
        <v>57</v>
      </c>
      <c r="B30" s="283"/>
      <c r="C30" s="283"/>
      <c r="D30" s="283"/>
      <c r="E30" s="283"/>
      <c r="F30" s="283"/>
      <c r="G30" s="283"/>
      <c r="H30" s="283"/>
      <c r="I30" s="283"/>
      <c r="J30" s="284"/>
      <c r="K30" s="107"/>
    </row>
    <row r="31" spans="1:11" s="19" customFormat="1" ht="24">
      <c r="A31" s="137"/>
      <c r="B31" s="138"/>
      <c r="C31" s="279" t="s">
        <v>53</v>
      </c>
      <c r="D31" s="280"/>
      <c r="E31" s="280"/>
      <c r="F31" s="280"/>
      <c r="G31" s="280"/>
      <c r="H31" s="280"/>
      <c r="I31" s="281"/>
      <c r="J31" s="139"/>
      <c r="K31" s="107"/>
    </row>
    <row r="32" spans="1:11" s="19" customFormat="1" ht="24">
      <c r="A32" s="144"/>
      <c r="B32" s="145" t="s">
        <v>50</v>
      </c>
      <c r="C32" s="145"/>
      <c r="D32" s="145"/>
      <c r="E32" s="145"/>
      <c r="F32" s="130"/>
      <c r="G32" s="111">
        <f>SUM(G31:G31)</f>
        <v>0</v>
      </c>
      <c r="H32" s="146"/>
      <c r="I32" s="146"/>
      <c r="J32" s="147"/>
      <c r="K32" s="107"/>
    </row>
    <row r="33" spans="1:13" s="19" customFormat="1" ht="24">
      <c r="A33" s="148"/>
      <c r="B33" s="149" t="s">
        <v>51</v>
      </c>
      <c r="C33" s="149"/>
      <c r="D33" s="149"/>
      <c r="E33" s="149"/>
      <c r="F33" s="150"/>
      <c r="G33" s="151">
        <f>G32*10%</f>
        <v>0</v>
      </c>
      <c r="H33" s="152"/>
      <c r="I33" s="152"/>
      <c r="J33" s="153"/>
      <c r="K33" s="107"/>
    </row>
    <row r="34" spans="1:13" s="19" customFormat="1" ht="24">
      <c r="A34" s="154"/>
      <c r="B34" s="155" t="s">
        <v>58</v>
      </c>
      <c r="C34" s="285"/>
      <c r="D34" s="286"/>
      <c r="E34" s="286"/>
      <c r="F34" s="287"/>
      <c r="G34" s="156">
        <f>SUM(G32:G33)</f>
        <v>0</v>
      </c>
      <c r="H34" s="157"/>
      <c r="I34" s="158">
        <f>SUM(I31:I33)</f>
        <v>0</v>
      </c>
      <c r="J34" s="159">
        <f>I34+G34</f>
        <v>0</v>
      </c>
      <c r="K34" s="107"/>
    </row>
    <row r="35" spans="1:13" s="26" customFormat="1" ht="24">
      <c r="A35" s="309" t="s">
        <v>124</v>
      </c>
      <c r="B35" s="310"/>
      <c r="C35" s="290"/>
      <c r="D35" s="291"/>
      <c r="E35" s="291"/>
      <c r="F35" s="291"/>
      <c r="G35" s="291"/>
      <c r="H35" s="291"/>
      <c r="I35" s="292"/>
      <c r="J35" s="160">
        <v>3600</v>
      </c>
      <c r="K35" s="161"/>
      <c r="L35" s="66"/>
      <c r="M35" s="67"/>
    </row>
    <row r="36" spans="1:13" s="69" customFormat="1" ht="24">
      <c r="A36" s="293" t="s">
        <v>59</v>
      </c>
      <c r="B36" s="294"/>
      <c r="C36" s="295"/>
      <c r="D36" s="296"/>
      <c r="E36" s="296"/>
      <c r="F36" s="296"/>
      <c r="G36" s="296"/>
      <c r="H36" s="296"/>
      <c r="I36" s="297"/>
      <c r="J36" s="162">
        <v>0</v>
      </c>
      <c r="K36" s="163"/>
    </row>
    <row r="37" spans="1:13" s="19" customFormat="1" ht="24">
      <c r="A37" s="268" t="s">
        <v>60</v>
      </c>
      <c r="B37" s="269"/>
      <c r="C37" s="164" t="s">
        <v>8</v>
      </c>
      <c r="D37" s="165" t="s">
        <v>8</v>
      </c>
      <c r="E37" s="166" t="s">
        <v>61</v>
      </c>
      <c r="F37" s="270">
        <v>0</v>
      </c>
      <c r="G37" s="271"/>
      <c r="H37" s="272">
        <v>0</v>
      </c>
      <c r="I37" s="273"/>
      <c r="J37" s="274"/>
      <c r="K37" s="107"/>
    </row>
    <row r="38" spans="1:13" s="69" customFormat="1" ht="24">
      <c r="A38" s="254" t="s">
        <v>62</v>
      </c>
      <c r="B38" s="255"/>
      <c r="C38" s="167" t="s">
        <v>6</v>
      </c>
      <c r="D38" s="168">
        <v>1</v>
      </c>
      <c r="E38" s="169" t="s">
        <v>7</v>
      </c>
      <c r="F38" s="256">
        <v>0</v>
      </c>
      <c r="G38" s="257"/>
      <c r="H38" s="257"/>
      <c r="I38" s="257"/>
      <c r="J38" s="258"/>
      <c r="K38" s="163"/>
    </row>
    <row r="39" spans="1:13" s="69" customFormat="1" ht="24.75" thickBot="1">
      <c r="A39" s="259" t="s">
        <v>63</v>
      </c>
      <c r="B39" s="260"/>
      <c r="C39" s="261">
        <f>(J35+J36+H37+F38)</f>
        <v>3600</v>
      </c>
      <c r="D39" s="262"/>
      <c r="E39" s="262"/>
      <c r="F39" s="262"/>
      <c r="G39" s="262"/>
      <c r="H39" s="262"/>
      <c r="I39" s="262"/>
      <c r="J39" s="263"/>
      <c r="K39" s="163"/>
      <c r="L39" s="74"/>
    </row>
    <row r="40" spans="1:13" s="69" customFormat="1" ht="24.75" thickBot="1">
      <c r="A40" s="264" t="str">
        <f>BAHTTEXT(C39)</f>
        <v>สามพันหกร้อยบาทถ้วน</v>
      </c>
      <c r="B40" s="265"/>
      <c r="C40" s="265"/>
      <c r="D40" s="265"/>
      <c r="E40" s="265"/>
      <c r="F40" s="265"/>
      <c r="G40" s="265"/>
      <c r="H40" s="265"/>
      <c r="I40" s="265"/>
      <c r="J40" s="266"/>
      <c r="K40" s="163"/>
    </row>
    <row r="43" spans="1:13" s="171" customFormat="1" ht="24">
      <c r="A43" s="267" t="s">
        <v>64</v>
      </c>
      <c r="B43" s="267"/>
      <c r="C43" s="170"/>
      <c r="D43" s="170"/>
      <c r="E43" s="253" t="s">
        <v>85</v>
      </c>
      <c r="F43" s="253"/>
      <c r="G43" s="253"/>
      <c r="H43" s="253"/>
      <c r="I43" s="253"/>
      <c r="J43" s="253"/>
      <c r="K43" s="170"/>
    </row>
    <row r="44" spans="1:13" s="171" customFormat="1" ht="24">
      <c r="A44" s="253" t="s">
        <v>79</v>
      </c>
      <c r="B44" s="253"/>
      <c r="C44" s="170"/>
      <c r="D44" s="170"/>
      <c r="E44" s="253" t="s">
        <v>154</v>
      </c>
      <c r="F44" s="253"/>
      <c r="G44" s="253"/>
      <c r="H44" s="253"/>
      <c r="I44" s="253"/>
      <c r="J44" s="253"/>
      <c r="K44" s="170"/>
    </row>
    <row r="45" spans="1:13" s="171" customFormat="1" ht="24">
      <c r="A45" s="253" t="s">
        <v>151</v>
      </c>
      <c r="B45" s="253"/>
      <c r="C45" s="170"/>
      <c r="D45" s="170"/>
      <c r="E45" s="253" t="s">
        <v>126</v>
      </c>
      <c r="F45" s="253"/>
      <c r="G45" s="253"/>
      <c r="H45" s="253"/>
      <c r="I45" s="253"/>
      <c r="J45" s="253"/>
      <c r="K45" s="170"/>
    </row>
    <row r="46" spans="1:13" ht="24">
      <c r="E46" s="253"/>
      <c r="F46" s="253"/>
      <c r="G46" s="253"/>
      <c r="H46" s="253"/>
      <c r="I46" s="253"/>
      <c r="J46" s="253"/>
    </row>
  </sheetData>
  <mergeCells count="42">
    <mergeCell ref="A44:B44"/>
    <mergeCell ref="A45:B45"/>
    <mergeCell ref="A38:B38"/>
    <mergeCell ref="F38:J38"/>
    <mergeCell ref="A39:B39"/>
    <mergeCell ref="C39:J39"/>
    <mergeCell ref="A40:J40"/>
    <mergeCell ref="A43:B43"/>
    <mergeCell ref="E43:J43"/>
    <mergeCell ref="E44:J44"/>
    <mergeCell ref="E45:J45"/>
    <mergeCell ref="C10:F10"/>
    <mergeCell ref="A37:B37"/>
    <mergeCell ref="F37:G37"/>
    <mergeCell ref="H37:J37"/>
    <mergeCell ref="C24:F24"/>
    <mergeCell ref="A25:J25"/>
    <mergeCell ref="C26:I26"/>
    <mergeCell ref="C29:F29"/>
    <mergeCell ref="A30:J30"/>
    <mergeCell ref="C31:I31"/>
    <mergeCell ref="C34:F34"/>
    <mergeCell ref="A35:B35"/>
    <mergeCell ref="C35:I35"/>
    <mergeCell ref="A36:B36"/>
    <mergeCell ref="C36:I36"/>
    <mergeCell ref="E46:J46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</mergeCells>
  <conditionalFormatting sqref="F38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7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5" right="0.25" top="0.75" bottom="0.75" header="0.3" footer="0.3"/>
  <pageSetup paperSize="9" scale="63" orientation="portrait" horizontalDpi="4294967293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B050"/>
  </sheetPr>
  <dimension ref="A1:M46"/>
  <sheetViews>
    <sheetView topLeftCell="A7" zoomScale="130" zoomScaleNormal="130" workbookViewId="0">
      <selection activeCell="A13" sqref="A13:XFD13"/>
    </sheetView>
  </sheetViews>
  <sheetFormatPr defaultColWidth="9" defaultRowHeight="21"/>
  <cols>
    <col min="1" max="1" width="5.75" style="14" customWidth="1"/>
    <col min="2" max="2" width="44.625" style="14" customWidth="1"/>
    <col min="3" max="3" width="8.625" style="14" customWidth="1"/>
    <col min="4" max="6" width="7.625" style="14" customWidth="1"/>
    <col min="7" max="7" width="8.625" style="14" customWidth="1"/>
    <col min="8" max="8" width="7.625" style="14" customWidth="1"/>
    <col min="9" max="9" width="8.625" style="14" customWidth="1"/>
    <col min="10" max="10" width="9.625" style="14" customWidth="1"/>
    <col min="11" max="16384" width="9" style="14"/>
  </cols>
  <sheetData>
    <row r="1" spans="1:11" s="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" customFormat="1" ht="24">
      <c r="A2" s="253" t="s">
        <v>34</v>
      </c>
      <c r="B2" s="253"/>
      <c r="C2" s="253" t="s">
        <v>113</v>
      </c>
      <c r="D2" s="253"/>
      <c r="E2" s="253"/>
      <c r="F2" s="253"/>
      <c r="G2" s="253"/>
      <c r="H2" s="299" t="s">
        <v>102</v>
      </c>
      <c r="I2" s="299"/>
      <c r="J2" s="299"/>
      <c r="K2" s="96"/>
    </row>
    <row r="3" spans="1:11" s="1" customFormat="1" ht="24">
      <c r="A3" s="300" t="s">
        <v>112</v>
      </c>
      <c r="B3" s="300"/>
      <c r="C3" s="300"/>
      <c r="D3" s="300"/>
      <c r="E3" s="300"/>
      <c r="F3" s="300"/>
      <c r="G3" s="300"/>
      <c r="H3" s="300"/>
      <c r="I3" s="300"/>
      <c r="J3" s="300"/>
      <c r="K3" s="95"/>
    </row>
    <row r="4" spans="1:11" s="12" customFormat="1" ht="24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  <c r="K4" s="97"/>
    </row>
    <row r="5" spans="1:11" s="12" customFormat="1" ht="24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  <c r="K5" s="97"/>
    </row>
    <row r="6" spans="1:11" ht="24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  <c r="K6" s="99"/>
    </row>
    <row r="7" spans="1:11" s="19" customFormat="1" ht="24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04">
        <v>981</v>
      </c>
      <c r="G7" s="105">
        <f>D7*F7</f>
        <v>981</v>
      </c>
      <c r="H7" s="105">
        <v>100</v>
      </c>
      <c r="I7" s="105">
        <f>D7*H7</f>
        <v>100</v>
      </c>
      <c r="J7" s="106"/>
      <c r="K7" s="107"/>
    </row>
    <row r="8" spans="1:11" s="26" customFormat="1" ht="24">
      <c r="A8" s="108"/>
      <c r="B8" s="109" t="s">
        <v>50</v>
      </c>
      <c r="C8" s="109"/>
      <c r="D8" s="109"/>
      <c r="E8" s="109"/>
      <c r="F8" s="110"/>
      <c r="G8" s="111">
        <f>SUM(G7:G7)</f>
        <v>981</v>
      </c>
      <c r="H8" s="112"/>
      <c r="I8" s="112"/>
      <c r="J8" s="113"/>
      <c r="K8" s="114"/>
    </row>
    <row r="9" spans="1:11" s="26" customFormat="1" ht="24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  <c r="K9" s="114"/>
    </row>
    <row r="10" spans="1:11" s="26" customFormat="1" ht="24">
      <c r="A10" s="121"/>
      <c r="B10" s="122" t="s">
        <v>21</v>
      </c>
      <c r="C10" s="275"/>
      <c r="D10" s="276"/>
      <c r="E10" s="276"/>
      <c r="F10" s="277"/>
      <c r="G10" s="123">
        <f>SUM(G8:G9)</f>
        <v>981</v>
      </c>
      <c r="H10" s="124"/>
      <c r="I10" s="123">
        <f>SUM(I7:I9)</f>
        <v>100</v>
      </c>
      <c r="J10" s="125"/>
      <c r="K10" s="114"/>
    </row>
    <row r="11" spans="1:11" ht="24">
      <c r="A11" s="282" t="s">
        <v>52</v>
      </c>
      <c r="B11" s="283"/>
      <c r="C11" s="283"/>
      <c r="D11" s="283"/>
      <c r="E11" s="283"/>
      <c r="F11" s="283"/>
      <c r="G11" s="283"/>
      <c r="H11" s="283"/>
      <c r="I11" s="283"/>
      <c r="J11" s="284"/>
      <c r="K11" s="99"/>
    </row>
    <row r="12" spans="1:11" s="19" customFormat="1" ht="24">
      <c r="A12" s="126"/>
      <c r="B12" s="127" t="s">
        <v>9</v>
      </c>
      <c r="C12" s="128">
        <v>20</v>
      </c>
      <c r="D12" s="129">
        <v>9</v>
      </c>
      <c r="E12" s="128" t="s">
        <v>10</v>
      </c>
      <c r="F12" s="129">
        <v>43</v>
      </c>
      <c r="G12" s="130">
        <f t="shared" ref="G12:G19" si="0">F12*D12</f>
        <v>387</v>
      </c>
      <c r="H12" s="131">
        <v>8</v>
      </c>
      <c r="I12" s="105">
        <f>D12*H12</f>
        <v>72</v>
      </c>
      <c r="J12" s="132"/>
      <c r="K12" s="107"/>
    </row>
    <row r="13" spans="1:11" s="19" customFormat="1" ht="24">
      <c r="A13" s="126"/>
      <c r="B13" s="127" t="s">
        <v>103</v>
      </c>
      <c r="C13" s="128" t="s">
        <v>71</v>
      </c>
      <c r="D13" s="129">
        <v>8</v>
      </c>
      <c r="E13" s="128" t="s">
        <v>10</v>
      </c>
      <c r="F13" s="129">
        <v>160</v>
      </c>
      <c r="G13" s="130">
        <v>960</v>
      </c>
      <c r="H13" s="183">
        <v>17</v>
      </c>
      <c r="I13" s="105">
        <v>102</v>
      </c>
      <c r="J13" s="132"/>
      <c r="K13" s="107"/>
    </row>
    <row r="14" spans="1:11" s="19" customFormat="1" ht="24">
      <c r="A14" s="126"/>
      <c r="B14" s="127" t="s">
        <v>92</v>
      </c>
      <c r="C14" s="128" t="s">
        <v>30</v>
      </c>
      <c r="D14" s="129">
        <v>1</v>
      </c>
      <c r="E14" s="128" t="s">
        <v>13</v>
      </c>
      <c r="F14" s="129">
        <v>760</v>
      </c>
      <c r="G14" s="130">
        <f t="shared" si="0"/>
        <v>760</v>
      </c>
      <c r="H14" s="183">
        <v>420</v>
      </c>
      <c r="I14" s="105">
        <f t="shared" ref="I14:I22" si="1">D14*H14</f>
        <v>420</v>
      </c>
      <c r="J14" s="132"/>
      <c r="K14" s="107"/>
    </row>
    <row r="15" spans="1:11" s="19" customFormat="1" ht="24">
      <c r="A15" s="126"/>
      <c r="B15" s="127" t="s">
        <v>23</v>
      </c>
      <c r="C15" s="128" t="s">
        <v>24</v>
      </c>
      <c r="D15" s="129">
        <v>1</v>
      </c>
      <c r="E15" s="128" t="s">
        <v>15</v>
      </c>
      <c r="F15" s="129">
        <v>85</v>
      </c>
      <c r="G15" s="130">
        <f t="shared" si="0"/>
        <v>85</v>
      </c>
      <c r="H15" s="183">
        <v>0</v>
      </c>
      <c r="I15" s="105">
        <f t="shared" si="1"/>
        <v>0</v>
      </c>
      <c r="J15" s="132"/>
      <c r="K15" s="107"/>
    </row>
    <row r="16" spans="1:11" s="19" customFormat="1" ht="24">
      <c r="A16" s="126"/>
      <c r="B16" s="127" t="s">
        <v>16</v>
      </c>
      <c r="C16" s="128">
        <v>20</v>
      </c>
      <c r="D16" s="129">
        <v>2</v>
      </c>
      <c r="E16" s="128" t="s">
        <v>15</v>
      </c>
      <c r="F16" s="129">
        <v>74</v>
      </c>
      <c r="G16" s="135">
        <f t="shared" si="0"/>
        <v>148</v>
      </c>
      <c r="H16" s="183">
        <v>0</v>
      </c>
      <c r="I16" s="105">
        <f t="shared" si="1"/>
        <v>0</v>
      </c>
      <c r="J16" s="132"/>
      <c r="K16" s="107"/>
    </row>
    <row r="17" spans="1:11" s="19" customFormat="1" ht="24">
      <c r="A17" s="126"/>
      <c r="B17" s="127" t="s">
        <v>14</v>
      </c>
      <c r="C17" s="128" t="s">
        <v>20</v>
      </c>
      <c r="D17" s="129">
        <v>2</v>
      </c>
      <c r="E17" s="128" t="s">
        <v>15</v>
      </c>
      <c r="F17" s="129">
        <v>189</v>
      </c>
      <c r="G17" s="135">
        <f t="shared" si="0"/>
        <v>378</v>
      </c>
      <c r="H17" s="183">
        <v>0</v>
      </c>
      <c r="I17" s="105">
        <f t="shared" si="1"/>
        <v>0</v>
      </c>
      <c r="J17" s="132"/>
      <c r="K17" s="107"/>
    </row>
    <row r="18" spans="1:11" s="19" customFormat="1" ht="24">
      <c r="A18" s="126"/>
      <c r="B18" s="127" t="s">
        <v>19</v>
      </c>
      <c r="C18" s="128" t="s">
        <v>6</v>
      </c>
      <c r="D18" s="129">
        <v>1</v>
      </c>
      <c r="E18" s="128" t="s">
        <v>15</v>
      </c>
      <c r="F18" s="129">
        <v>68</v>
      </c>
      <c r="G18" s="130">
        <f t="shared" si="0"/>
        <v>68</v>
      </c>
      <c r="H18" s="184">
        <v>0</v>
      </c>
      <c r="I18" s="105">
        <f t="shared" si="1"/>
        <v>0</v>
      </c>
      <c r="J18" s="132"/>
      <c r="K18" s="107"/>
    </row>
    <row r="19" spans="1:11" s="19" customFormat="1" ht="24">
      <c r="A19" s="126"/>
      <c r="B19" s="127" t="s">
        <v>35</v>
      </c>
      <c r="C19" s="128" t="s">
        <v>20</v>
      </c>
      <c r="D19" s="129">
        <v>1</v>
      </c>
      <c r="E19" s="128" t="s">
        <v>15</v>
      </c>
      <c r="F19" s="129">
        <v>81</v>
      </c>
      <c r="G19" s="130">
        <f t="shared" si="0"/>
        <v>81</v>
      </c>
      <c r="H19" s="183">
        <v>0</v>
      </c>
      <c r="I19" s="105">
        <f t="shared" si="1"/>
        <v>0</v>
      </c>
      <c r="J19" s="132"/>
      <c r="K19" s="107"/>
    </row>
    <row r="20" spans="1:11" s="19" customFormat="1" ht="24">
      <c r="A20" s="126"/>
      <c r="B20" s="127" t="s">
        <v>17</v>
      </c>
      <c r="C20" s="128"/>
      <c r="D20" s="129">
        <v>1</v>
      </c>
      <c r="E20" s="128" t="s">
        <v>18</v>
      </c>
      <c r="F20" s="129">
        <v>12</v>
      </c>
      <c r="G20" s="130">
        <f>F20*D20</f>
        <v>12</v>
      </c>
      <c r="H20" s="183">
        <v>0</v>
      </c>
      <c r="I20" s="105">
        <f t="shared" si="1"/>
        <v>0</v>
      </c>
      <c r="J20" s="132"/>
      <c r="K20" s="107"/>
    </row>
    <row r="21" spans="1:11" s="19" customFormat="1" ht="24">
      <c r="A21" s="126"/>
      <c r="B21" s="127" t="s">
        <v>36</v>
      </c>
      <c r="C21" s="128"/>
      <c r="D21" s="129">
        <v>1</v>
      </c>
      <c r="E21" s="128" t="s">
        <v>13</v>
      </c>
      <c r="F21" s="129">
        <v>3</v>
      </c>
      <c r="G21" s="130">
        <f>F21*D21</f>
        <v>3</v>
      </c>
      <c r="H21" s="183">
        <v>0</v>
      </c>
      <c r="I21" s="105">
        <f t="shared" si="1"/>
        <v>0</v>
      </c>
      <c r="J21" s="132"/>
      <c r="K21" s="107"/>
    </row>
    <row r="22" spans="1:11" s="19" customFormat="1" ht="24">
      <c r="A22" s="126"/>
      <c r="B22" s="127" t="s">
        <v>111</v>
      </c>
      <c r="C22" s="128"/>
      <c r="D22" s="129">
        <v>1.3</v>
      </c>
      <c r="E22" s="128" t="s">
        <v>37</v>
      </c>
      <c r="F22" s="129">
        <v>340</v>
      </c>
      <c r="G22" s="130">
        <f>F22*D22</f>
        <v>442</v>
      </c>
      <c r="H22" s="184">
        <v>0</v>
      </c>
      <c r="I22" s="105">
        <f t="shared" si="1"/>
        <v>0</v>
      </c>
      <c r="J22" s="132"/>
      <c r="K22" s="107"/>
    </row>
    <row r="23" spans="1:11" s="26" customFormat="1" ht="24">
      <c r="A23" s="108"/>
      <c r="B23" s="109" t="s">
        <v>50</v>
      </c>
      <c r="C23" s="109"/>
      <c r="D23" s="109"/>
      <c r="E23" s="109"/>
      <c r="F23" s="110"/>
      <c r="G23" s="111">
        <f>SUM(G12:G22)</f>
        <v>3324</v>
      </c>
      <c r="H23" s="185"/>
      <c r="I23" s="133"/>
      <c r="J23" s="113"/>
      <c r="K23" s="114"/>
    </row>
    <row r="24" spans="1:11" s="26" customFormat="1" ht="24">
      <c r="A24" s="115"/>
      <c r="B24" s="116" t="s">
        <v>51</v>
      </c>
      <c r="C24" s="116"/>
      <c r="D24" s="116"/>
      <c r="E24" s="116"/>
      <c r="F24" s="117"/>
      <c r="G24" s="118">
        <v>0</v>
      </c>
      <c r="H24" s="119"/>
      <c r="I24" s="136"/>
      <c r="J24" s="120"/>
      <c r="K24" s="114"/>
    </row>
    <row r="25" spans="1:11" s="26" customFormat="1" ht="24">
      <c r="A25" s="121"/>
      <c r="B25" s="122" t="s">
        <v>54</v>
      </c>
      <c r="C25" s="275"/>
      <c r="D25" s="276"/>
      <c r="E25" s="276"/>
      <c r="F25" s="277"/>
      <c r="G25" s="123">
        <f>SUM(G23:G24)</f>
        <v>3324</v>
      </c>
      <c r="H25" s="124"/>
      <c r="I25" s="123">
        <f>SUM(I12:I24)</f>
        <v>594</v>
      </c>
      <c r="J25" s="125"/>
      <c r="K25" s="114"/>
    </row>
    <row r="26" spans="1:11" s="19" customFormat="1" ht="24">
      <c r="A26" s="254" t="s">
        <v>55</v>
      </c>
      <c r="B26" s="278"/>
      <c r="C26" s="278"/>
      <c r="D26" s="278"/>
      <c r="E26" s="278"/>
      <c r="F26" s="278"/>
      <c r="G26" s="278"/>
      <c r="H26" s="278"/>
      <c r="I26" s="278"/>
      <c r="J26" s="255"/>
      <c r="K26" s="107"/>
    </row>
    <row r="27" spans="1:11" s="19" customFormat="1" ht="24">
      <c r="A27" s="137"/>
      <c r="B27" s="138"/>
      <c r="C27" s="279" t="s">
        <v>53</v>
      </c>
      <c r="D27" s="280"/>
      <c r="E27" s="280"/>
      <c r="F27" s="280"/>
      <c r="G27" s="280"/>
      <c r="H27" s="280"/>
      <c r="I27" s="281"/>
      <c r="J27" s="139"/>
      <c r="K27" s="107"/>
    </row>
    <row r="28" spans="1:11" s="26" customFormat="1" ht="24">
      <c r="A28" s="108"/>
      <c r="B28" s="109" t="s">
        <v>50</v>
      </c>
      <c r="C28" s="109"/>
      <c r="D28" s="109"/>
      <c r="E28" s="109"/>
      <c r="F28" s="110"/>
      <c r="G28" s="140">
        <f>SUM(G27:G27)</f>
        <v>0</v>
      </c>
      <c r="H28" s="112"/>
      <c r="I28" s="112"/>
      <c r="J28" s="113"/>
      <c r="K28" s="114"/>
    </row>
    <row r="29" spans="1:11" s="26" customFormat="1" ht="24">
      <c r="A29" s="115"/>
      <c r="B29" s="116" t="s">
        <v>51</v>
      </c>
      <c r="C29" s="116"/>
      <c r="D29" s="116"/>
      <c r="E29" s="116"/>
      <c r="F29" s="117"/>
      <c r="G29" s="118">
        <f>G28*10%</f>
        <v>0</v>
      </c>
      <c r="H29" s="119"/>
      <c r="I29" s="119"/>
      <c r="J29" s="120"/>
      <c r="K29" s="114"/>
    </row>
    <row r="30" spans="1:11" s="26" customFormat="1" ht="24">
      <c r="A30" s="141"/>
      <c r="B30" s="122" t="s">
        <v>56</v>
      </c>
      <c r="C30" s="275"/>
      <c r="D30" s="276"/>
      <c r="E30" s="276"/>
      <c r="F30" s="277"/>
      <c r="G30" s="123">
        <f>SUM(G28:G29)</f>
        <v>0</v>
      </c>
      <c r="H30" s="124"/>
      <c r="I30" s="142">
        <f>SUM(I27:I29)</f>
        <v>0</v>
      </c>
      <c r="J30" s="143">
        <f>I30+G30</f>
        <v>0</v>
      </c>
      <c r="K30" s="114"/>
    </row>
    <row r="31" spans="1:11" s="19" customFormat="1" ht="24">
      <c r="A31" s="282" t="s">
        <v>57</v>
      </c>
      <c r="B31" s="283"/>
      <c r="C31" s="283"/>
      <c r="D31" s="283"/>
      <c r="E31" s="283"/>
      <c r="F31" s="283"/>
      <c r="G31" s="283"/>
      <c r="H31" s="283"/>
      <c r="I31" s="283"/>
      <c r="J31" s="284"/>
      <c r="K31" s="107"/>
    </row>
    <row r="32" spans="1:11" s="19" customFormat="1" ht="24">
      <c r="A32" s="137"/>
      <c r="B32" s="138"/>
      <c r="C32" s="279" t="s">
        <v>53</v>
      </c>
      <c r="D32" s="280"/>
      <c r="E32" s="280"/>
      <c r="F32" s="280"/>
      <c r="G32" s="280"/>
      <c r="H32" s="280"/>
      <c r="I32" s="281"/>
      <c r="J32" s="139"/>
      <c r="K32" s="107"/>
    </row>
    <row r="33" spans="1:13" s="19" customFormat="1" ht="24">
      <c r="A33" s="144"/>
      <c r="B33" s="145" t="s">
        <v>50</v>
      </c>
      <c r="C33" s="145"/>
      <c r="D33" s="145"/>
      <c r="E33" s="145"/>
      <c r="F33" s="130"/>
      <c r="G33" s="111">
        <f>SUM(G32:G32)</f>
        <v>0</v>
      </c>
      <c r="H33" s="146"/>
      <c r="I33" s="146"/>
      <c r="J33" s="147"/>
      <c r="K33" s="107"/>
    </row>
    <row r="34" spans="1:13" s="19" customFormat="1" ht="24">
      <c r="A34" s="148"/>
      <c r="B34" s="149" t="s">
        <v>51</v>
      </c>
      <c r="C34" s="149"/>
      <c r="D34" s="149"/>
      <c r="E34" s="149"/>
      <c r="F34" s="150"/>
      <c r="G34" s="151">
        <f>G33*10%</f>
        <v>0</v>
      </c>
      <c r="H34" s="152"/>
      <c r="I34" s="152"/>
      <c r="J34" s="153"/>
      <c r="K34" s="107"/>
    </row>
    <row r="35" spans="1:13" s="19" customFormat="1" ht="24">
      <c r="A35" s="154"/>
      <c r="B35" s="155" t="s">
        <v>58</v>
      </c>
      <c r="C35" s="285"/>
      <c r="D35" s="286"/>
      <c r="E35" s="286"/>
      <c r="F35" s="287"/>
      <c r="G35" s="156">
        <f>SUM(G33:G34)</f>
        <v>0</v>
      </c>
      <c r="H35" s="157"/>
      <c r="I35" s="158">
        <f>SUM(I32:I34)</f>
        <v>0</v>
      </c>
      <c r="J35" s="159">
        <f>I35+G35</f>
        <v>0</v>
      </c>
      <c r="K35" s="107"/>
    </row>
    <row r="36" spans="1:13" s="26" customFormat="1" ht="24">
      <c r="A36" s="309" t="s">
        <v>65</v>
      </c>
      <c r="B36" s="310"/>
      <c r="C36" s="290"/>
      <c r="D36" s="291"/>
      <c r="E36" s="291"/>
      <c r="F36" s="291"/>
      <c r="G36" s="291"/>
      <c r="H36" s="291"/>
      <c r="I36" s="292"/>
      <c r="J36" s="160">
        <v>3600</v>
      </c>
      <c r="K36" s="161"/>
      <c r="L36" s="66"/>
      <c r="M36" s="67"/>
    </row>
    <row r="37" spans="1:13" s="69" customFormat="1" ht="24">
      <c r="A37" s="293" t="s">
        <v>59</v>
      </c>
      <c r="B37" s="294"/>
      <c r="C37" s="295"/>
      <c r="D37" s="296"/>
      <c r="E37" s="296"/>
      <c r="F37" s="296"/>
      <c r="G37" s="296"/>
      <c r="H37" s="296"/>
      <c r="I37" s="297"/>
      <c r="J37" s="162">
        <v>0</v>
      </c>
      <c r="K37" s="163"/>
    </row>
    <row r="38" spans="1:13" s="19" customFormat="1" ht="24">
      <c r="A38" s="268" t="s">
        <v>60</v>
      </c>
      <c r="B38" s="269"/>
      <c r="C38" s="164" t="s">
        <v>8</v>
      </c>
      <c r="D38" s="165" t="s">
        <v>8</v>
      </c>
      <c r="E38" s="166" t="s">
        <v>61</v>
      </c>
      <c r="F38" s="270">
        <v>0</v>
      </c>
      <c r="G38" s="271"/>
      <c r="H38" s="272">
        <v>0</v>
      </c>
      <c r="I38" s="273"/>
      <c r="J38" s="274"/>
      <c r="K38" s="107"/>
    </row>
    <row r="39" spans="1:13" s="69" customFormat="1" ht="24">
      <c r="A39" s="254" t="s">
        <v>62</v>
      </c>
      <c r="B39" s="255"/>
      <c r="C39" s="167" t="s">
        <v>6</v>
      </c>
      <c r="D39" s="168">
        <v>1</v>
      </c>
      <c r="E39" s="169" t="s">
        <v>7</v>
      </c>
      <c r="F39" s="256">
        <v>0</v>
      </c>
      <c r="G39" s="257"/>
      <c r="H39" s="257"/>
      <c r="I39" s="257"/>
      <c r="J39" s="258"/>
      <c r="K39" s="163"/>
    </row>
    <row r="40" spans="1:13" s="69" customFormat="1" ht="24.75" thickBot="1">
      <c r="A40" s="259" t="s">
        <v>63</v>
      </c>
      <c r="B40" s="260"/>
      <c r="C40" s="261">
        <f>(J36+J37+H38+F39)</f>
        <v>3600</v>
      </c>
      <c r="D40" s="262"/>
      <c r="E40" s="262"/>
      <c r="F40" s="262"/>
      <c r="G40" s="262"/>
      <c r="H40" s="262"/>
      <c r="I40" s="262"/>
      <c r="J40" s="263"/>
      <c r="K40" s="163"/>
      <c r="L40" s="74"/>
    </row>
    <row r="41" spans="1:13" s="69" customFormat="1" ht="24.75" thickBot="1">
      <c r="A41" s="264" t="str">
        <f>BAHTTEXT(C40)</f>
        <v>สามพันหกร้อยบาทถ้วน</v>
      </c>
      <c r="B41" s="265"/>
      <c r="C41" s="265"/>
      <c r="D41" s="265"/>
      <c r="E41" s="265"/>
      <c r="F41" s="265"/>
      <c r="G41" s="265"/>
      <c r="H41" s="265"/>
      <c r="I41" s="265"/>
      <c r="J41" s="266"/>
      <c r="K41" s="163"/>
    </row>
    <row r="43" spans="1:13" s="1" customFormat="1">
      <c r="A43" s="212" t="s">
        <v>64</v>
      </c>
      <c r="B43" s="212"/>
      <c r="C43" s="11"/>
      <c r="D43" s="11"/>
      <c r="E43" s="198" t="s">
        <v>85</v>
      </c>
      <c r="F43" s="198"/>
      <c r="G43" s="198"/>
      <c r="H43" s="198"/>
      <c r="I43" s="198"/>
      <c r="J43" s="198"/>
      <c r="K43" s="11"/>
    </row>
    <row r="44" spans="1:13" s="1" customFormat="1">
      <c r="A44" s="198" t="s">
        <v>79</v>
      </c>
      <c r="B44" s="198"/>
      <c r="C44" s="11"/>
      <c r="D44" s="11"/>
      <c r="E44" s="198" t="s">
        <v>93</v>
      </c>
      <c r="F44" s="198"/>
      <c r="G44" s="198"/>
      <c r="H44" s="198"/>
      <c r="I44" s="198"/>
      <c r="J44" s="198"/>
      <c r="K44" s="11"/>
    </row>
    <row r="45" spans="1:13" s="1" customFormat="1">
      <c r="A45" s="198" t="s">
        <v>109</v>
      </c>
      <c r="B45" s="198"/>
      <c r="C45" s="11"/>
      <c r="D45" s="11"/>
      <c r="E45" s="198" t="s">
        <v>110</v>
      </c>
      <c r="F45" s="198"/>
      <c r="G45" s="198"/>
      <c r="H45" s="198"/>
      <c r="I45" s="198"/>
      <c r="J45" s="198"/>
      <c r="K45" s="11"/>
    </row>
    <row r="46" spans="1:13">
      <c r="E46" s="198"/>
      <c r="F46" s="198"/>
      <c r="G46" s="198"/>
      <c r="H46" s="198"/>
      <c r="I46" s="198"/>
      <c r="J46" s="198"/>
    </row>
  </sheetData>
  <mergeCells count="42">
    <mergeCell ref="A1:J1"/>
    <mergeCell ref="A2:B2"/>
    <mergeCell ref="C2:G2"/>
    <mergeCell ref="H2:J2"/>
    <mergeCell ref="A3:J3"/>
    <mergeCell ref="C32:I32"/>
    <mergeCell ref="F4:G4"/>
    <mergeCell ref="H4:I4"/>
    <mergeCell ref="J4:J5"/>
    <mergeCell ref="A6:J6"/>
    <mergeCell ref="C10:F10"/>
    <mergeCell ref="A11:J11"/>
    <mergeCell ref="A4:A5"/>
    <mergeCell ref="B4:B5"/>
    <mergeCell ref="C4:C5"/>
    <mergeCell ref="D4:D5"/>
    <mergeCell ref="E4:E5"/>
    <mergeCell ref="C25:F25"/>
    <mergeCell ref="A26:J26"/>
    <mergeCell ref="C27:I27"/>
    <mergeCell ref="C30:F30"/>
    <mergeCell ref="A31:J31"/>
    <mergeCell ref="A43:B43"/>
    <mergeCell ref="E43:J43"/>
    <mergeCell ref="C35:F35"/>
    <mergeCell ref="A36:B36"/>
    <mergeCell ref="C36:I36"/>
    <mergeCell ref="A37:B37"/>
    <mergeCell ref="C37:I37"/>
    <mergeCell ref="A38:B38"/>
    <mergeCell ref="F38:G38"/>
    <mergeCell ref="H38:J38"/>
    <mergeCell ref="A39:B39"/>
    <mergeCell ref="F39:J39"/>
    <mergeCell ref="A40:B40"/>
    <mergeCell ref="C40:J40"/>
    <mergeCell ref="A41:J41"/>
    <mergeCell ref="A44:B44"/>
    <mergeCell ref="E44:J44"/>
    <mergeCell ref="A45:B45"/>
    <mergeCell ref="E45:J45"/>
    <mergeCell ref="E46:J46"/>
  </mergeCells>
  <conditionalFormatting sqref="F39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8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3622047244094491" right="0.23622047244094491" top="0.59055118110236227" bottom="0.74803149606299213" header="0.31496062992125984" footer="0.31496062992125984"/>
  <pageSetup paperSize="9" scale="68" orientation="portrait" r:id="rId1"/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B050"/>
  </sheetPr>
  <dimension ref="A1:M45"/>
  <sheetViews>
    <sheetView zoomScale="130" zoomScaleNormal="130" workbookViewId="0">
      <selection activeCell="K1" sqref="K1"/>
    </sheetView>
  </sheetViews>
  <sheetFormatPr defaultColWidth="9" defaultRowHeight="24"/>
  <cols>
    <col min="1" max="1" width="5.75" style="99" customWidth="1"/>
    <col min="2" max="2" width="44.62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1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71" customFormat="1">
      <c r="A2" s="253" t="s">
        <v>34</v>
      </c>
      <c r="B2" s="253"/>
      <c r="C2" s="253" t="s">
        <v>143</v>
      </c>
      <c r="D2" s="253"/>
      <c r="E2" s="253"/>
      <c r="F2" s="253"/>
      <c r="G2" s="253"/>
      <c r="H2" s="299" t="s">
        <v>117</v>
      </c>
      <c r="I2" s="299"/>
      <c r="J2" s="299"/>
      <c r="K2" s="96"/>
    </row>
    <row r="3" spans="1:11" s="171" customFormat="1">
      <c r="A3" s="300" t="s">
        <v>149</v>
      </c>
      <c r="B3" s="300"/>
      <c r="C3" s="300"/>
      <c r="D3" s="300"/>
      <c r="E3" s="300"/>
      <c r="F3" s="300"/>
      <c r="G3" s="300"/>
      <c r="H3" s="300"/>
      <c r="I3" s="300"/>
      <c r="J3" s="300"/>
      <c r="K3" s="95"/>
    </row>
    <row r="4" spans="1:11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1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1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1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04">
        <v>986</v>
      </c>
      <c r="G7" s="105">
        <f>D7*F7</f>
        <v>986</v>
      </c>
      <c r="H7" s="105">
        <v>100</v>
      </c>
      <c r="I7" s="105">
        <f>D7*H7</f>
        <v>100</v>
      </c>
      <c r="J7" s="106"/>
    </row>
    <row r="8" spans="1:11" s="114" customFormat="1">
      <c r="A8" s="108"/>
      <c r="B8" s="109" t="s">
        <v>50</v>
      </c>
      <c r="C8" s="109"/>
      <c r="D8" s="109"/>
      <c r="E8" s="109"/>
      <c r="F8" s="110"/>
      <c r="G8" s="111">
        <f>SUM(G7:G7)</f>
        <v>986</v>
      </c>
      <c r="H8" s="112"/>
      <c r="I8" s="112"/>
      <c r="J8" s="113"/>
    </row>
    <row r="9" spans="1:11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</row>
    <row r="10" spans="1:11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986</v>
      </c>
      <c r="H10" s="124"/>
      <c r="I10" s="123">
        <f>SUM(I7:I9)</f>
        <v>100</v>
      </c>
      <c r="J10" s="125"/>
    </row>
    <row r="11" spans="1:11">
      <c r="A11" s="282" t="s">
        <v>52</v>
      </c>
      <c r="B11" s="283"/>
      <c r="C11" s="283"/>
      <c r="D11" s="283"/>
      <c r="E11" s="283"/>
      <c r="F11" s="283"/>
      <c r="G11" s="283"/>
      <c r="H11" s="283"/>
      <c r="I11" s="283"/>
      <c r="J11" s="284"/>
    </row>
    <row r="12" spans="1:11" s="107" customFormat="1">
      <c r="A12" s="126"/>
      <c r="B12" s="127" t="s">
        <v>9</v>
      </c>
      <c r="C12" s="128">
        <v>20</v>
      </c>
      <c r="D12" s="129">
        <v>2</v>
      </c>
      <c r="E12" s="128" t="s">
        <v>10</v>
      </c>
      <c r="F12" s="129">
        <v>43</v>
      </c>
      <c r="G12" s="130">
        <f t="shared" ref="G12:G18" si="0">F12*D12</f>
        <v>86</v>
      </c>
      <c r="H12" s="131">
        <v>8</v>
      </c>
      <c r="I12" s="105">
        <f>D12*H12</f>
        <v>16</v>
      </c>
      <c r="J12" s="132"/>
    </row>
    <row r="13" spans="1:11" s="107" customFormat="1">
      <c r="A13" s="126"/>
      <c r="B13" s="127" t="s">
        <v>135</v>
      </c>
      <c r="C13" s="128" t="s">
        <v>30</v>
      </c>
      <c r="D13" s="129">
        <v>1</v>
      </c>
      <c r="E13" s="128" t="s">
        <v>13</v>
      </c>
      <c r="F13" s="129">
        <v>540</v>
      </c>
      <c r="G13" s="130">
        <f t="shared" si="0"/>
        <v>540</v>
      </c>
      <c r="H13" s="183">
        <v>420</v>
      </c>
      <c r="I13" s="105">
        <f t="shared" ref="I13:I21" si="1">D13*H13</f>
        <v>420</v>
      </c>
      <c r="J13" s="132"/>
    </row>
    <row r="14" spans="1:11" s="107" customFormat="1">
      <c r="A14" s="126"/>
      <c r="B14" s="127" t="s">
        <v>23</v>
      </c>
      <c r="C14" s="128" t="s">
        <v>24</v>
      </c>
      <c r="D14" s="129">
        <v>1</v>
      </c>
      <c r="E14" s="128" t="s">
        <v>15</v>
      </c>
      <c r="F14" s="129">
        <v>85</v>
      </c>
      <c r="G14" s="130">
        <f t="shared" si="0"/>
        <v>85</v>
      </c>
      <c r="H14" s="183">
        <v>0</v>
      </c>
      <c r="I14" s="105">
        <f t="shared" si="1"/>
        <v>0</v>
      </c>
      <c r="J14" s="132"/>
    </row>
    <row r="15" spans="1:11" s="107" customFormat="1">
      <c r="A15" s="126"/>
      <c r="B15" s="127" t="s">
        <v>16</v>
      </c>
      <c r="C15" s="128">
        <v>20</v>
      </c>
      <c r="D15" s="129">
        <v>2</v>
      </c>
      <c r="E15" s="128" t="s">
        <v>15</v>
      </c>
      <c r="F15" s="129">
        <v>74</v>
      </c>
      <c r="G15" s="135">
        <f t="shared" si="0"/>
        <v>148</v>
      </c>
      <c r="H15" s="183">
        <v>0</v>
      </c>
      <c r="I15" s="105">
        <f t="shared" si="1"/>
        <v>0</v>
      </c>
      <c r="J15" s="132"/>
    </row>
    <row r="16" spans="1:11" s="107" customFormat="1">
      <c r="A16" s="126"/>
      <c r="B16" s="127" t="s">
        <v>14</v>
      </c>
      <c r="C16" s="128" t="s">
        <v>20</v>
      </c>
      <c r="D16" s="129">
        <v>2</v>
      </c>
      <c r="E16" s="128" t="s">
        <v>15</v>
      </c>
      <c r="F16" s="129">
        <v>189</v>
      </c>
      <c r="G16" s="135">
        <f t="shared" si="0"/>
        <v>378</v>
      </c>
      <c r="H16" s="183">
        <v>0</v>
      </c>
      <c r="I16" s="105">
        <f t="shared" si="1"/>
        <v>0</v>
      </c>
      <c r="J16" s="132"/>
    </row>
    <row r="17" spans="1:10" s="107" customFormat="1">
      <c r="A17" s="126"/>
      <c r="B17" s="127" t="s">
        <v>19</v>
      </c>
      <c r="C17" s="128" t="s">
        <v>6</v>
      </c>
      <c r="D17" s="129">
        <v>1</v>
      </c>
      <c r="E17" s="128" t="s">
        <v>15</v>
      </c>
      <c r="F17" s="129">
        <v>68</v>
      </c>
      <c r="G17" s="130">
        <f t="shared" si="0"/>
        <v>68</v>
      </c>
      <c r="H17" s="184">
        <v>0</v>
      </c>
      <c r="I17" s="105">
        <f t="shared" si="1"/>
        <v>0</v>
      </c>
      <c r="J17" s="132"/>
    </row>
    <row r="18" spans="1:10" s="107" customFormat="1">
      <c r="A18" s="126"/>
      <c r="B18" s="127" t="s">
        <v>35</v>
      </c>
      <c r="C18" s="128" t="s">
        <v>20</v>
      </c>
      <c r="D18" s="129">
        <v>1</v>
      </c>
      <c r="E18" s="128" t="s">
        <v>15</v>
      </c>
      <c r="F18" s="129">
        <v>81</v>
      </c>
      <c r="G18" s="130">
        <f t="shared" si="0"/>
        <v>81</v>
      </c>
      <c r="H18" s="183">
        <v>0</v>
      </c>
      <c r="I18" s="105">
        <f t="shared" si="1"/>
        <v>0</v>
      </c>
      <c r="J18" s="132"/>
    </row>
    <row r="19" spans="1:10" s="107" customFormat="1">
      <c r="A19" s="126"/>
      <c r="B19" s="127" t="s">
        <v>17</v>
      </c>
      <c r="C19" s="128"/>
      <c r="D19" s="129">
        <v>1</v>
      </c>
      <c r="E19" s="128" t="s">
        <v>18</v>
      </c>
      <c r="F19" s="129">
        <v>12</v>
      </c>
      <c r="G19" s="130">
        <f>F19*D19</f>
        <v>12</v>
      </c>
      <c r="H19" s="183">
        <v>0</v>
      </c>
      <c r="I19" s="105">
        <f t="shared" si="1"/>
        <v>0</v>
      </c>
      <c r="J19" s="132"/>
    </row>
    <row r="20" spans="1:10" s="107" customFormat="1">
      <c r="A20" s="126"/>
      <c r="B20" s="127" t="s">
        <v>36</v>
      </c>
      <c r="C20" s="128"/>
      <c r="D20" s="129">
        <v>1</v>
      </c>
      <c r="E20" s="128" t="s">
        <v>13</v>
      </c>
      <c r="F20" s="129">
        <v>3</v>
      </c>
      <c r="G20" s="130">
        <f>F20*D20</f>
        <v>3</v>
      </c>
      <c r="H20" s="183">
        <v>0</v>
      </c>
      <c r="I20" s="105">
        <f t="shared" si="1"/>
        <v>0</v>
      </c>
      <c r="J20" s="132"/>
    </row>
    <row r="21" spans="1:10" s="107" customFormat="1">
      <c r="A21" s="126"/>
      <c r="B21" s="127" t="s">
        <v>38</v>
      </c>
      <c r="C21" s="128"/>
      <c r="D21" s="129">
        <v>0</v>
      </c>
      <c r="E21" s="128" t="s">
        <v>37</v>
      </c>
      <c r="F21" s="129">
        <v>320</v>
      </c>
      <c r="G21" s="130">
        <f>F21*D21</f>
        <v>0</v>
      </c>
      <c r="H21" s="184">
        <v>0</v>
      </c>
      <c r="I21" s="105">
        <f t="shared" si="1"/>
        <v>0</v>
      </c>
      <c r="J21" s="132"/>
    </row>
    <row r="22" spans="1:10" s="114" customFormat="1">
      <c r="A22" s="108"/>
      <c r="B22" s="109" t="s">
        <v>50</v>
      </c>
      <c r="C22" s="109"/>
      <c r="D22" s="109"/>
      <c r="E22" s="109"/>
      <c r="F22" s="110"/>
      <c r="G22" s="111">
        <f>SUM(G12:G21)</f>
        <v>1401</v>
      </c>
      <c r="H22" s="185"/>
      <c r="I22" s="133"/>
      <c r="J22" s="113"/>
    </row>
    <row r="23" spans="1:10" s="114" customFormat="1">
      <c r="A23" s="115"/>
      <c r="B23" s="116" t="s">
        <v>51</v>
      </c>
      <c r="C23" s="116"/>
      <c r="D23" s="116"/>
      <c r="E23" s="116"/>
      <c r="F23" s="117"/>
      <c r="G23" s="118">
        <v>0</v>
      </c>
      <c r="H23" s="119"/>
      <c r="I23" s="136"/>
      <c r="J23" s="120"/>
    </row>
    <row r="24" spans="1:10" s="114" customFormat="1">
      <c r="A24" s="121"/>
      <c r="B24" s="122" t="s">
        <v>54</v>
      </c>
      <c r="C24" s="275"/>
      <c r="D24" s="276"/>
      <c r="E24" s="276"/>
      <c r="F24" s="277"/>
      <c r="G24" s="123">
        <f>SUM(G22:G23)</f>
        <v>1401</v>
      </c>
      <c r="H24" s="124"/>
      <c r="I24" s="123">
        <f>SUM(I12:I23)</f>
        <v>436</v>
      </c>
      <c r="J24" s="125"/>
    </row>
    <row r="25" spans="1:10" s="107" customFormat="1">
      <c r="A25" s="254" t="s">
        <v>55</v>
      </c>
      <c r="B25" s="278"/>
      <c r="C25" s="278"/>
      <c r="D25" s="278"/>
      <c r="E25" s="278"/>
      <c r="F25" s="278"/>
      <c r="G25" s="278"/>
      <c r="H25" s="278"/>
      <c r="I25" s="278"/>
      <c r="J25" s="255"/>
    </row>
    <row r="26" spans="1:10" s="107" customFormat="1">
      <c r="A26" s="137"/>
      <c r="B26" s="138"/>
      <c r="C26" s="279" t="s">
        <v>53</v>
      </c>
      <c r="D26" s="280"/>
      <c r="E26" s="280"/>
      <c r="F26" s="280"/>
      <c r="G26" s="280"/>
      <c r="H26" s="280"/>
      <c r="I26" s="281"/>
      <c r="J26" s="139"/>
    </row>
    <row r="27" spans="1:10" s="114" customFormat="1">
      <c r="A27" s="108"/>
      <c r="B27" s="109" t="s">
        <v>50</v>
      </c>
      <c r="C27" s="109"/>
      <c r="D27" s="109"/>
      <c r="E27" s="109"/>
      <c r="F27" s="110"/>
      <c r="G27" s="140">
        <f>SUM(G26:G26)</f>
        <v>0</v>
      </c>
      <c r="H27" s="112"/>
      <c r="I27" s="112"/>
      <c r="J27" s="113"/>
    </row>
    <row r="28" spans="1:10" s="114" customFormat="1">
      <c r="A28" s="115"/>
      <c r="B28" s="116" t="s">
        <v>51</v>
      </c>
      <c r="C28" s="116"/>
      <c r="D28" s="116"/>
      <c r="E28" s="116"/>
      <c r="F28" s="117"/>
      <c r="G28" s="118">
        <f>G27*10%</f>
        <v>0</v>
      </c>
      <c r="H28" s="119"/>
      <c r="I28" s="119"/>
      <c r="J28" s="120"/>
    </row>
    <row r="29" spans="1:10" s="114" customFormat="1">
      <c r="A29" s="141"/>
      <c r="B29" s="122" t="s">
        <v>56</v>
      </c>
      <c r="C29" s="275"/>
      <c r="D29" s="276"/>
      <c r="E29" s="276"/>
      <c r="F29" s="277"/>
      <c r="G29" s="123">
        <f>SUM(G27:G28)</f>
        <v>0</v>
      </c>
      <c r="H29" s="124"/>
      <c r="I29" s="142">
        <f>SUM(I26:I28)</f>
        <v>0</v>
      </c>
      <c r="J29" s="143">
        <f>I29+G29</f>
        <v>0</v>
      </c>
    </row>
    <row r="30" spans="1:10" s="107" customFormat="1">
      <c r="A30" s="282" t="s">
        <v>57</v>
      </c>
      <c r="B30" s="283"/>
      <c r="C30" s="283"/>
      <c r="D30" s="283"/>
      <c r="E30" s="283"/>
      <c r="F30" s="283"/>
      <c r="G30" s="283"/>
      <c r="H30" s="283"/>
      <c r="I30" s="283"/>
      <c r="J30" s="284"/>
    </row>
    <row r="31" spans="1:10" s="107" customFormat="1">
      <c r="A31" s="137"/>
      <c r="B31" s="138"/>
      <c r="C31" s="279" t="s">
        <v>53</v>
      </c>
      <c r="D31" s="280"/>
      <c r="E31" s="280"/>
      <c r="F31" s="280"/>
      <c r="G31" s="280"/>
      <c r="H31" s="280"/>
      <c r="I31" s="281"/>
      <c r="J31" s="139"/>
    </row>
    <row r="32" spans="1:10" s="107" customFormat="1">
      <c r="A32" s="144"/>
      <c r="B32" s="145" t="s">
        <v>50</v>
      </c>
      <c r="C32" s="145"/>
      <c r="D32" s="145"/>
      <c r="E32" s="145"/>
      <c r="F32" s="130"/>
      <c r="G32" s="111">
        <f>SUM(G31:G31)</f>
        <v>0</v>
      </c>
      <c r="H32" s="146"/>
      <c r="I32" s="146"/>
      <c r="J32" s="147"/>
    </row>
    <row r="33" spans="1:13" s="107" customFormat="1">
      <c r="A33" s="148"/>
      <c r="B33" s="149" t="s">
        <v>51</v>
      </c>
      <c r="C33" s="149"/>
      <c r="D33" s="149"/>
      <c r="E33" s="149"/>
      <c r="F33" s="150"/>
      <c r="G33" s="151">
        <f>G32*10%</f>
        <v>0</v>
      </c>
      <c r="H33" s="152"/>
      <c r="I33" s="152"/>
      <c r="J33" s="153"/>
    </row>
    <row r="34" spans="1:13" s="107" customFormat="1">
      <c r="A34" s="154"/>
      <c r="B34" s="155" t="s">
        <v>58</v>
      </c>
      <c r="C34" s="285"/>
      <c r="D34" s="286"/>
      <c r="E34" s="286"/>
      <c r="F34" s="287"/>
      <c r="G34" s="156">
        <f>SUM(G32:G33)</f>
        <v>0</v>
      </c>
      <c r="H34" s="157"/>
      <c r="I34" s="158">
        <f>SUM(I31:I33)</f>
        <v>0</v>
      </c>
      <c r="J34" s="159">
        <f>I34+G34</f>
        <v>0</v>
      </c>
    </row>
    <row r="35" spans="1:13" s="114" customFormat="1">
      <c r="A35" s="309" t="s">
        <v>65</v>
      </c>
      <c r="B35" s="310"/>
      <c r="C35" s="290"/>
      <c r="D35" s="291"/>
      <c r="E35" s="291"/>
      <c r="F35" s="291"/>
      <c r="G35" s="291"/>
      <c r="H35" s="291"/>
      <c r="I35" s="292"/>
      <c r="J35" s="160">
        <v>3600</v>
      </c>
      <c r="K35" s="161"/>
      <c r="L35" s="172"/>
      <c r="M35" s="173"/>
    </row>
    <row r="36" spans="1:13" s="163" customFormat="1">
      <c r="A36" s="293" t="s">
        <v>59</v>
      </c>
      <c r="B36" s="294"/>
      <c r="C36" s="295"/>
      <c r="D36" s="296"/>
      <c r="E36" s="296"/>
      <c r="F36" s="296"/>
      <c r="G36" s="296"/>
      <c r="H36" s="296"/>
      <c r="I36" s="297"/>
      <c r="J36" s="162">
        <v>0</v>
      </c>
    </row>
    <row r="37" spans="1:13" s="107" customFormat="1">
      <c r="A37" s="268" t="s">
        <v>60</v>
      </c>
      <c r="B37" s="269"/>
      <c r="C37" s="164" t="s">
        <v>8</v>
      </c>
      <c r="D37" s="165" t="s">
        <v>8</v>
      </c>
      <c r="E37" s="166" t="s">
        <v>61</v>
      </c>
      <c r="F37" s="270">
        <v>0</v>
      </c>
      <c r="G37" s="271"/>
      <c r="H37" s="272">
        <v>0</v>
      </c>
      <c r="I37" s="273"/>
      <c r="J37" s="274"/>
    </row>
    <row r="38" spans="1:13" s="163" customFormat="1">
      <c r="A38" s="254" t="s">
        <v>62</v>
      </c>
      <c r="B38" s="255"/>
      <c r="C38" s="167" t="s">
        <v>6</v>
      </c>
      <c r="D38" s="168">
        <v>1</v>
      </c>
      <c r="E38" s="169" t="s">
        <v>7</v>
      </c>
      <c r="F38" s="256">
        <v>0</v>
      </c>
      <c r="G38" s="257"/>
      <c r="H38" s="257"/>
      <c r="I38" s="257"/>
      <c r="J38" s="258"/>
    </row>
    <row r="39" spans="1:13" s="163" customFormat="1" ht="24.75" thickBot="1">
      <c r="A39" s="259" t="s">
        <v>63</v>
      </c>
      <c r="B39" s="260"/>
      <c r="C39" s="261">
        <f>(J35+J36+H37+F38)</f>
        <v>3600</v>
      </c>
      <c r="D39" s="262"/>
      <c r="E39" s="262"/>
      <c r="F39" s="262"/>
      <c r="G39" s="262"/>
      <c r="H39" s="262"/>
      <c r="I39" s="262"/>
      <c r="J39" s="263"/>
      <c r="L39" s="174"/>
    </row>
    <row r="40" spans="1:13" s="163" customFormat="1" ht="24.75" thickBot="1">
      <c r="A40" s="264" t="str">
        <f>BAHTTEXT(C39)</f>
        <v>สามพันหกร้อยบาทถ้วน</v>
      </c>
      <c r="B40" s="265"/>
      <c r="C40" s="265"/>
      <c r="D40" s="265"/>
      <c r="E40" s="265"/>
      <c r="F40" s="265"/>
      <c r="G40" s="265"/>
      <c r="H40" s="265"/>
      <c r="I40" s="265"/>
      <c r="J40" s="266"/>
    </row>
    <row r="42" spans="1:13" s="171" customFormat="1">
      <c r="A42" s="267" t="s">
        <v>150</v>
      </c>
      <c r="B42" s="267"/>
      <c r="C42" s="170"/>
      <c r="D42" s="170"/>
      <c r="E42" s="253" t="s">
        <v>128</v>
      </c>
      <c r="F42" s="253"/>
      <c r="G42" s="253"/>
      <c r="H42" s="253"/>
      <c r="I42" s="253"/>
      <c r="J42" s="253"/>
      <c r="K42" s="170"/>
    </row>
    <row r="43" spans="1:13" s="171" customFormat="1">
      <c r="A43" s="253" t="s">
        <v>79</v>
      </c>
      <c r="B43" s="253"/>
      <c r="C43" s="170"/>
      <c r="D43" s="170"/>
      <c r="E43" s="253" t="s">
        <v>147</v>
      </c>
      <c r="F43" s="253"/>
      <c r="G43" s="253"/>
      <c r="H43" s="253"/>
      <c r="I43" s="253"/>
      <c r="J43" s="253"/>
      <c r="K43" s="170"/>
    </row>
    <row r="44" spans="1:13" s="171" customFormat="1">
      <c r="A44" s="253" t="s">
        <v>109</v>
      </c>
      <c r="B44" s="253"/>
      <c r="C44" s="170"/>
      <c r="D44" s="170"/>
      <c r="E44" s="253" t="s">
        <v>148</v>
      </c>
      <c r="F44" s="253"/>
      <c r="G44" s="253"/>
      <c r="H44" s="253"/>
      <c r="I44" s="253"/>
      <c r="J44" s="253"/>
      <c r="K44" s="170"/>
    </row>
    <row r="45" spans="1:13">
      <c r="E45" s="253"/>
      <c r="F45" s="253"/>
      <c r="G45" s="253"/>
      <c r="H45" s="253"/>
      <c r="I45" s="253"/>
      <c r="J45" s="253"/>
    </row>
  </sheetData>
  <mergeCells count="42">
    <mergeCell ref="E45:J45"/>
    <mergeCell ref="A43:B43"/>
    <mergeCell ref="A44:B44"/>
    <mergeCell ref="A38:B38"/>
    <mergeCell ref="F38:J38"/>
    <mergeCell ref="A39:B39"/>
    <mergeCell ref="C39:J39"/>
    <mergeCell ref="A40:J40"/>
    <mergeCell ref="A42:B42"/>
    <mergeCell ref="E42:J42"/>
    <mergeCell ref="E43:J43"/>
    <mergeCell ref="E44:J44"/>
    <mergeCell ref="A37:B37"/>
    <mergeCell ref="F37:G37"/>
    <mergeCell ref="H37:J37"/>
    <mergeCell ref="C24:F24"/>
    <mergeCell ref="A25:J25"/>
    <mergeCell ref="C26:I26"/>
    <mergeCell ref="C29:F29"/>
    <mergeCell ref="A30:J30"/>
    <mergeCell ref="C31:I31"/>
    <mergeCell ref="C34:F34"/>
    <mergeCell ref="A35:B35"/>
    <mergeCell ref="C35:I35"/>
    <mergeCell ref="A36:B36"/>
    <mergeCell ref="C36:I36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</mergeCells>
  <conditionalFormatting sqref="F38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7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3622047244094491" right="0.23622047244094491" top="0.59055118110236227" bottom="0.74803149606299213" header="0.31496062992125984" footer="0.31496062992125984"/>
  <pageSetup paperSize="9" scale="68" orientation="portrait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50"/>
  </sheetPr>
  <dimension ref="A1:M46"/>
  <sheetViews>
    <sheetView view="pageBreakPreview" zoomScale="140" zoomScaleNormal="100" zoomScaleSheetLayoutView="140" workbookViewId="0">
      <selection activeCell="B13" sqref="B13:I13"/>
    </sheetView>
  </sheetViews>
  <sheetFormatPr defaultColWidth="9" defaultRowHeight="21"/>
  <cols>
    <col min="1" max="1" width="5.75" style="14" customWidth="1"/>
    <col min="2" max="2" width="44.625" style="14" customWidth="1"/>
    <col min="3" max="3" width="8.625" style="14" customWidth="1"/>
    <col min="4" max="6" width="7.625" style="14" customWidth="1"/>
    <col min="7" max="7" width="8.625" style="14" customWidth="1"/>
    <col min="8" max="8" width="7.625" style="14" customWidth="1"/>
    <col min="9" max="9" width="8.625" style="14" customWidth="1"/>
    <col min="10" max="10" width="9.625" style="14" customWidth="1"/>
    <col min="11" max="16384" width="9" style="14"/>
  </cols>
  <sheetData>
    <row r="1" spans="1:11" s="1" customFormat="1" ht="23.25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10"/>
    </row>
    <row r="2" spans="1:11" s="1" customFormat="1">
      <c r="A2" s="198" t="s">
        <v>34</v>
      </c>
      <c r="B2" s="198"/>
      <c r="C2" s="198" t="s">
        <v>95</v>
      </c>
      <c r="D2" s="198"/>
      <c r="E2" s="198"/>
      <c r="F2" s="198"/>
      <c r="G2" s="198"/>
      <c r="H2" s="244" t="s">
        <v>94</v>
      </c>
      <c r="I2" s="244"/>
      <c r="J2" s="244"/>
      <c r="K2" s="89"/>
    </row>
    <row r="3" spans="1:11" s="1" customFormat="1">
      <c r="A3" s="311" t="s">
        <v>105</v>
      </c>
      <c r="B3" s="311"/>
      <c r="C3" s="311"/>
      <c r="D3" s="311"/>
      <c r="E3" s="311"/>
      <c r="F3" s="311"/>
      <c r="G3" s="311"/>
      <c r="H3" s="311"/>
      <c r="I3" s="311"/>
      <c r="J3" s="311"/>
      <c r="K3" s="9"/>
    </row>
    <row r="4" spans="1:11" s="12" customFormat="1">
      <c r="A4" s="246" t="s">
        <v>43</v>
      </c>
      <c r="B4" s="246" t="s">
        <v>1</v>
      </c>
      <c r="C4" s="246" t="s">
        <v>2</v>
      </c>
      <c r="D4" s="246" t="s">
        <v>3</v>
      </c>
      <c r="E4" s="246" t="s">
        <v>4</v>
      </c>
      <c r="F4" s="249" t="s">
        <v>44</v>
      </c>
      <c r="G4" s="250"/>
      <c r="H4" s="249" t="s">
        <v>45</v>
      </c>
      <c r="I4" s="250"/>
      <c r="J4" s="251" t="s">
        <v>5</v>
      </c>
    </row>
    <row r="5" spans="1:11" s="12" customFormat="1">
      <c r="A5" s="247"/>
      <c r="B5" s="247"/>
      <c r="C5" s="248"/>
      <c r="D5" s="248"/>
      <c r="E5" s="248"/>
      <c r="F5" s="13" t="s">
        <v>46</v>
      </c>
      <c r="G5" s="13" t="s">
        <v>47</v>
      </c>
      <c r="H5" s="13" t="s">
        <v>46</v>
      </c>
      <c r="I5" s="13" t="s">
        <v>47</v>
      </c>
      <c r="J5" s="252"/>
    </row>
    <row r="6" spans="1:11">
      <c r="A6" s="227" t="s">
        <v>48</v>
      </c>
      <c r="B6" s="228"/>
      <c r="C6" s="228"/>
      <c r="D6" s="228"/>
      <c r="E6" s="228"/>
      <c r="F6" s="228"/>
      <c r="G6" s="228"/>
      <c r="H6" s="228"/>
      <c r="I6" s="228"/>
      <c r="J6" s="229"/>
    </row>
    <row r="7" spans="1:11" s="19" customFormat="1">
      <c r="A7" s="2"/>
      <c r="B7" s="3" t="s">
        <v>49</v>
      </c>
      <c r="C7" s="15" t="s">
        <v>6</v>
      </c>
      <c r="D7" s="15">
        <v>1</v>
      </c>
      <c r="E7" s="16" t="s">
        <v>7</v>
      </c>
      <c r="F7" s="4">
        <v>981</v>
      </c>
      <c r="G7" s="17">
        <f>D7*F7</f>
        <v>981</v>
      </c>
      <c r="H7" s="17">
        <v>100</v>
      </c>
      <c r="I7" s="17">
        <f>D7*H7</f>
        <v>100</v>
      </c>
      <c r="J7" s="18"/>
    </row>
    <row r="8" spans="1:11" s="26" customFormat="1">
      <c r="A8" s="20"/>
      <c r="B8" s="21" t="s">
        <v>50</v>
      </c>
      <c r="C8" s="21"/>
      <c r="D8" s="21"/>
      <c r="E8" s="21"/>
      <c r="F8" s="22"/>
      <c r="G8" s="23">
        <f>SUM(G7:G7)</f>
        <v>981</v>
      </c>
      <c r="H8" s="24"/>
      <c r="I8" s="24"/>
      <c r="J8" s="25"/>
    </row>
    <row r="9" spans="1:11" s="26" customFormat="1">
      <c r="A9" s="27"/>
      <c r="B9" s="28" t="s">
        <v>51</v>
      </c>
      <c r="C9" s="28"/>
      <c r="D9" s="28"/>
      <c r="E9" s="28"/>
      <c r="F9" s="29"/>
      <c r="G9" s="30">
        <v>0</v>
      </c>
      <c r="H9" s="31"/>
      <c r="I9" s="31"/>
      <c r="J9" s="32"/>
    </row>
    <row r="10" spans="1:11" s="26" customFormat="1">
      <c r="A10" s="33"/>
      <c r="B10" s="34" t="s">
        <v>21</v>
      </c>
      <c r="C10" s="213"/>
      <c r="D10" s="214"/>
      <c r="E10" s="214"/>
      <c r="F10" s="215"/>
      <c r="G10" s="35">
        <f>SUM(G8:G9)</f>
        <v>981</v>
      </c>
      <c r="H10" s="36"/>
      <c r="I10" s="35">
        <f>SUM(I7:I9)</f>
        <v>100</v>
      </c>
      <c r="J10" s="37"/>
    </row>
    <row r="11" spans="1:11">
      <c r="A11" s="227" t="s">
        <v>52</v>
      </c>
      <c r="B11" s="228"/>
      <c r="C11" s="228"/>
      <c r="D11" s="228"/>
      <c r="E11" s="228"/>
      <c r="F11" s="228"/>
      <c r="G11" s="228"/>
      <c r="H11" s="228"/>
      <c r="I11" s="228"/>
      <c r="J11" s="229"/>
    </row>
    <row r="12" spans="1:11" s="19" customFormat="1">
      <c r="A12" s="41"/>
      <c r="B12" s="5" t="s">
        <v>9</v>
      </c>
      <c r="C12" s="6">
        <v>20</v>
      </c>
      <c r="D12" s="7">
        <v>10</v>
      </c>
      <c r="E12" s="6" t="s">
        <v>10</v>
      </c>
      <c r="F12" s="7">
        <v>43</v>
      </c>
      <c r="G12" s="42">
        <f t="shared" ref="G12:G19" si="0">F12*D12</f>
        <v>430</v>
      </c>
      <c r="H12" s="90">
        <v>8</v>
      </c>
      <c r="I12" s="17">
        <f t="shared" ref="I12:I22" si="1">D12*H12</f>
        <v>80</v>
      </c>
      <c r="J12" s="43"/>
    </row>
    <row r="13" spans="1:11" s="19" customFormat="1">
      <c r="A13" s="41"/>
      <c r="B13" s="5" t="s">
        <v>103</v>
      </c>
      <c r="C13" s="6" t="s">
        <v>71</v>
      </c>
      <c r="D13" s="7">
        <v>6</v>
      </c>
      <c r="E13" s="6" t="s">
        <v>10</v>
      </c>
      <c r="F13" s="8">
        <v>160</v>
      </c>
      <c r="G13" s="42">
        <f>F13*D13</f>
        <v>960</v>
      </c>
      <c r="H13" s="91">
        <v>17</v>
      </c>
      <c r="I13" s="17">
        <f>D13*H13</f>
        <v>102</v>
      </c>
      <c r="J13" s="43"/>
    </row>
    <row r="14" spans="1:11" s="19" customFormat="1">
      <c r="A14" s="41"/>
      <c r="B14" s="5" t="s">
        <v>96</v>
      </c>
      <c r="C14" s="6" t="s">
        <v>31</v>
      </c>
      <c r="D14" s="7">
        <v>1</v>
      </c>
      <c r="E14" s="6" t="s">
        <v>13</v>
      </c>
      <c r="F14" s="8">
        <v>1000</v>
      </c>
      <c r="G14" s="42">
        <f t="shared" si="0"/>
        <v>1000</v>
      </c>
      <c r="H14" s="91">
        <v>560</v>
      </c>
      <c r="I14" s="17">
        <f t="shared" si="1"/>
        <v>560</v>
      </c>
      <c r="J14" s="43"/>
    </row>
    <row r="15" spans="1:11" s="19" customFormat="1">
      <c r="A15" s="41"/>
      <c r="B15" s="5" t="s">
        <v>23</v>
      </c>
      <c r="C15" s="6" t="s">
        <v>24</v>
      </c>
      <c r="D15" s="7">
        <v>1</v>
      </c>
      <c r="E15" s="6" t="s">
        <v>15</v>
      </c>
      <c r="F15" s="7">
        <v>85</v>
      </c>
      <c r="G15" s="42">
        <f t="shared" si="0"/>
        <v>85</v>
      </c>
      <c r="H15" s="91">
        <v>0</v>
      </c>
      <c r="I15" s="17">
        <f t="shared" si="1"/>
        <v>0</v>
      </c>
      <c r="J15" s="43"/>
    </row>
    <row r="16" spans="1:11" s="19" customFormat="1">
      <c r="A16" s="41"/>
      <c r="B16" s="5" t="s">
        <v>16</v>
      </c>
      <c r="C16" s="6">
        <v>20</v>
      </c>
      <c r="D16" s="7">
        <v>2</v>
      </c>
      <c r="E16" s="6" t="s">
        <v>15</v>
      </c>
      <c r="F16" s="7">
        <v>74</v>
      </c>
      <c r="G16" s="75">
        <f t="shared" si="0"/>
        <v>148</v>
      </c>
      <c r="H16" s="91">
        <v>0</v>
      </c>
      <c r="I16" s="17">
        <f t="shared" si="1"/>
        <v>0</v>
      </c>
      <c r="J16" s="43"/>
    </row>
    <row r="17" spans="1:10" s="19" customFormat="1">
      <c r="A17" s="41"/>
      <c r="B17" s="5" t="s">
        <v>14</v>
      </c>
      <c r="C17" s="6" t="s">
        <v>20</v>
      </c>
      <c r="D17" s="7">
        <v>2</v>
      </c>
      <c r="E17" s="6" t="s">
        <v>15</v>
      </c>
      <c r="F17" s="7">
        <v>189</v>
      </c>
      <c r="G17" s="75">
        <f t="shared" si="0"/>
        <v>378</v>
      </c>
      <c r="H17" s="91">
        <v>0</v>
      </c>
      <c r="I17" s="17">
        <f t="shared" si="1"/>
        <v>0</v>
      </c>
      <c r="J17" s="43"/>
    </row>
    <row r="18" spans="1:10" s="19" customFormat="1">
      <c r="A18" s="41"/>
      <c r="B18" s="5" t="s">
        <v>19</v>
      </c>
      <c r="C18" s="6" t="s">
        <v>6</v>
      </c>
      <c r="D18" s="7">
        <v>1</v>
      </c>
      <c r="E18" s="6" t="s">
        <v>15</v>
      </c>
      <c r="F18" s="7">
        <v>68</v>
      </c>
      <c r="G18" s="42">
        <f t="shared" si="0"/>
        <v>68</v>
      </c>
      <c r="H18" s="92">
        <v>0</v>
      </c>
      <c r="I18" s="17">
        <f t="shared" si="1"/>
        <v>0</v>
      </c>
      <c r="J18" s="43"/>
    </row>
    <row r="19" spans="1:10" s="19" customFormat="1">
      <c r="A19" s="41"/>
      <c r="B19" s="5" t="s">
        <v>35</v>
      </c>
      <c r="C19" s="6" t="s">
        <v>20</v>
      </c>
      <c r="D19" s="7">
        <v>1</v>
      </c>
      <c r="E19" s="6" t="s">
        <v>15</v>
      </c>
      <c r="F19" s="7">
        <v>81</v>
      </c>
      <c r="G19" s="42">
        <f t="shared" si="0"/>
        <v>81</v>
      </c>
      <c r="H19" s="91">
        <v>0</v>
      </c>
      <c r="I19" s="17">
        <f t="shared" si="1"/>
        <v>0</v>
      </c>
      <c r="J19" s="43"/>
    </row>
    <row r="20" spans="1:10" s="19" customFormat="1">
      <c r="A20" s="41"/>
      <c r="B20" s="5" t="s">
        <v>17</v>
      </c>
      <c r="C20" s="6"/>
      <c r="D20" s="7">
        <v>1</v>
      </c>
      <c r="E20" s="6" t="s">
        <v>18</v>
      </c>
      <c r="F20" s="7">
        <v>12</v>
      </c>
      <c r="G20" s="42">
        <f>F20*D20</f>
        <v>12</v>
      </c>
      <c r="H20" s="91">
        <v>0</v>
      </c>
      <c r="I20" s="17">
        <f t="shared" si="1"/>
        <v>0</v>
      </c>
      <c r="J20" s="43"/>
    </row>
    <row r="21" spans="1:10" s="19" customFormat="1">
      <c r="A21" s="41"/>
      <c r="B21" s="5" t="s">
        <v>36</v>
      </c>
      <c r="C21" s="6"/>
      <c r="D21" s="7">
        <v>1</v>
      </c>
      <c r="E21" s="6" t="s">
        <v>13</v>
      </c>
      <c r="F21" s="7">
        <v>3</v>
      </c>
      <c r="G21" s="42">
        <f>F21*D21</f>
        <v>3</v>
      </c>
      <c r="H21" s="91">
        <v>0</v>
      </c>
      <c r="I21" s="17">
        <f t="shared" si="1"/>
        <v>0</v>
      </c>
      <c r="J21" s="43"/>
    </row>
    <row r="22" spans="1:10" s="19" customFormat="1">
      <c r="A22" s="41"/>
      <c r="B22" s="5" t="s">
        <v>104</v>
      </c>
      <c r="C22" s="6"/>
      <c r="D22" s="7">
        <v>0.6</v>
      </c>
      <c r="E22" s="6" t="s">
        <v>37</v>
      </c>
      <c r="F22" s="7">
        <v>340</v>
      </c>
      <c r="G22" s="42">
        <f>F22*D22</f>
        <v>204</v>
      </c>
      <c r="H22" s="92">
        <v>0</v>
      </c>
      <c r="I22" s="17">
        <f t="shared" si="1"/>
        <v>0</v>
      </c>
      <c r="J22" s="43"/>
    </row>
    <row r="23" spans="1:10" s="26" customFormat="1">
      <c r="A23" s="20"/>
      <c r="B23" s="21" t="s">
        <v>50</v>
      </c>
      <c r="C23" s="21"/>
      <c r="D23" s="21"/>
      <c r="E23" s="21"/>
      <c r="F23" s="22"/>
      <c r="G23" s="23">
        <f>SUM(G12:G22)</f>
        <v>3369</v>
      </c>
      <c r="H23" s="81"/>
      <c r="I23" s="79"/>
      <c r="J23" s="25"/>
    </row>
    <row r="24" spans="1:10" s="26" customFormat="1">
      <c r="A24" s="27"/>
      <c r="B24" s="28" t="s">
        <v>51</v>
      </c>
      <c r="C24" s="28"/>
      <c r="D24" s="28"/>
      <c r="E24" s="28"/>
      <c r="F24" s="29"/>
      <c r="G24" s="30">
        <v>0</v>
      </c>
      <c r="H24" s="31"/>
      <c r="I24" s="78"/>
      <c r="J24" s="32"/>
    </row>
    <row r="25" spans="1:10" s="26" customFormat="1">
      <c r="A25" s="33"/>
      <c r="B25" s="34" t="s">
        <v>54</v>
      </c>
      <c r="C25" s="213"/>
      <c r="D25" s="214"/>
      <c r="E25" s="214"/>
      <c r="F25" s="215"/>
      <c r="G25" s="35">
        <f>SUM(G23:G24)</f>
        <v>3369</v>
      </c>
      <c r="H25" s="36"/>
      <c r="I25" s="35">
        <f>SUM(I12:I24)</f>
        <v>742</v>
      </c>
      <c r="J25" s="37"/>
    </row>
    <row r="26" spans="1:10" s="19" customFormat="1">
      <c r="A26" s="199" t="s">
        <v>55</v>
      </c>
      <c r="B26" s="223"/>
      <c r="C26" s="223"/>
      <c r="D26" s="223"/>
      <c r="E26" s="223"/>
      <c r="F26" s="223"/>
      <c r="G26" s="223"/>
      <c r="H26" s="223"/>
      <c r="I26" s="223"/>
      <c r="J26" s="200"/>
    </row>
    <row r="27" spans="1:10" s="19" customFormat="1">
      <c r="A27" s="38"/>
      <c r="B27" s="39"/>
      <c r="C27" s="224" t="s">
        <v>53</v>
      </c>
      <c r="D27" s="225"/>
      <c r="E27" s="225"/>
      <c r="F27" s="225"/>
      <c r="G27" s="225"/>
      <c r="H27" s="225"/>
      <c r="I27" s="226"/>
      <c r="J27" s="40"/>
    </row>
    <row r="28" spans="1:10" s="26" customFormat="1">
      <c r="A28" s="20"/>
      <c r="B28" s="21" t="s">
        <v>50</v>
      </c>
      <c r="C28" s="21"/>
      <c r="D28" s="21"/>
      <c r="E28" s="21"/>
      <c r="F28" s="22"/>
      <c r="G28" s="44">
        <f>SUM(G27:G27)</f>
        <v>0</v>
      </c>
      <c r="H28" s="24"/>
      <c r="I28" s="24"/>
      <c r="J28" s="25"/>
    </row>
    <row r="29" spans="1:10" s="26" customFormat="1">
      <c r="A29" s="27"/>
      <c r="B29" s="28" t="s">
        <v>51</v>
      </c>
      <c r="C29" s="28"/>
      <c r="D29" s="28"/>
      <c r="E29" s="28"/>
      <c r="F29" s="29"/>
      <c r="G29" s="30">
        <f>G28*10%</f>
        <v>0</v>
      </c>
      <c r="H29" s="31"/>
      <c r="I29" s="31"/>
      <c r="J29" s="32"/>
    </row>
    <row r="30" spans="1:10" s="26" customFormat="1">
      <c r="A30" s="45"/>
      <c r="B30" s="34" t="s">
        <v>56</v>
      </c>
      <c r="C30" s="213"/>
      <c r="D30" s="214"/>
      <c r="E30" s="214"/>
      <c r="F30" s="215"/>
      <c r="G30" s="35">
        <f>SUM(G28:G29)</f>
        <v>0</v>
      </c>
      <c r="H30" s="36"/>
      <c r="I30" s="46">
        <f>SUM(I27:I29)</f>
        <v>0</v>
      </c>
      <c r="J30" s="47">
        <f>I30+G30</f>
        <v>0</v>
      </c>
    </row>
    <row r="31" spans="1:10" s="19" customFormat="1">
      <c r="A31" s="227" t="s">
        <v>57</v>
      </c>
      <c r="B31" s="228"/>
      <c r="C31" s="228"/>
      <c r="D31" s="228"/>
      <c r="E31" s="228"/>
      <c r="F31" s="228"/>
      <c r="G31" s="228"/>
      <c r="H31" s="228"/>
      <c r="I31" s="228"/>
      <c r="J31" s="229"/>
    </row>
    <row r="32" spans="1:10" s="19" customFormat="1">
      <c r="A32" s="38"/>
      <c r="B32" s="39"/>
      <c r="C32" s="224" t="s">
        <v>53</v>
      </c>
      <c r="D32" s="225"/>
      <c r="E32" s="225"/>
      <c r="F32" s="225"/>
      <c r="G32" s="225"/>
      <c r="H32" s="225"/>
      <c r="I32" s="226"/>
      <c r="J32" s="40"/>
    </row>
    <row r="33" spans="1:13" s="19" customFormat="1">
      <c r="A33" s="49"/>
      <c r="B33" s="48" t="s">
        <v>50</v>
      </c>
      <c r="C33" s="48"/>
      <c r="D33" s="48"/>
      <c r="E33" s="48"/>
      <c r="F33" s="42"/>
      <c r="G33" s="23">
        <f>SUM(G32:G32)</f>
        <v>0</v>
      </c>
      <c r="H33" s="50"/>
      <c r="I33" s="50"/>
      <c r="J33" s="51"/>
    </row>
    <row r="34" spans="1:13" s="19" customFormat="1">
      <c r="A34" s="52"/>
      <c r="B34" s="53" t="s">
        <v>51</v>
      </c>
      <c r="C34" s="53"/>
      <c r="D34" s="53"/>
      <c r="E34" s="53"/>
      <c r="F34" s="54"/>
      <c r="G34" s="55">
        <f>G33*10%</f>
        <v>0</v>
      </c>
      <c r="H34" s="56"/>
      <c r="I34" s="56"/>
      <c r="J34" s="57"/>
    </row>
    <row r="35" spans="1:13" s="19" customFormat="1">
      <c r="A35" s="58"/>
      <c r="B35" s="59" t="s">
        <v>58</v>
      </c>
      <c r="C35" s="230"/>
      <c r="D35" s="231"/>
      <c r="E35" s="231"/>
      <c r="F35" s="232"/>
      <c r="G35" s="60">
        <f>SUM(G33:G34)</f>
        <v>0</v>
      </c>
      <c r="H35" s="61"/>
      <c r="I35" s="62">
        <f>SUM(I32:I34)</f>
        <v>0</v>
      </c>
      <c r="J35" s="63">
        <f>I35+G35</f>
        <v>0</v>
      </c>
    </row>
    <row r="36" spans="1:13" s="26" customFormat="1">
      <c r="A36" s="233" t="s">
        <v>65</v>
      </c>
      <c r="B36" s="234"/>
      <c r="C36" s="235"/>
      <c r="D36" s="236"/>
      <c r="E36" s="236"/>
      <c r="F36" s="236"/>
      <c r="G36" s="236"/>
      <c r="H36" s="236"/>
      <c r="I36" s="237"/>
      <c r="J36" s="64">
        <v>3600</v>
      </c>
      <c r="K36" s="65"/>
      <c r="L36" s="66"/>
      <c r="M36" s="67"/>
    </row>
    <row r="37" spans="1:13" s="69" customFormat="1">
      <c r="A37" s="238" t="s">
        <v>59</v>
      </c>
      <c r="B37" s="239"/>
      <c r="C37" s="240"/>
      <c r="D37" s="241"/>
      <c r="E37" s="241"/>
      <c r="F37" s="241"/>
      <c r="G37" s="241"/>
      <c r="H37" s="241"/>
      <c r="I37" s="242"/>
      <c r="J37" s="68">
        <v>0</v>
      </c>
    </row>
    <row r="38" spans="1:13" s="19" customFormat="1">
      <c r="A38" s="216" t="s">
        <v>60</v>
      </c>
      <c r="B38" s="217"/>
      <c r="C38" s="76" t="s">
        <v>8</v>
      </c>
      <c r="D38" s="70" t="s">
        <v>8</v>
      </c>
      <c r="E38" s="71" t="s">
        <v>61</v>
      </c>
      <c r="F38" s="218">
        <v>0</v>
      </c>
      <c r="G38" s="219"/>
      <c r="H38" s="220">
        <v>0</v>
      </c>
      <c r="I38" s="221"/>
      <c r="J38" s="222"/>
    </row>
    <row r="39" spans="1:13" s="69" customFormat="1">
      <c r="A39" s="199" t="s">
        <v>62</v>
      </c>
      <c r="B39" s="200"/>
      <c r="C39" s="77" t="s">
        <v>6</v>
      </c>
      <c r="D39" s="72">
        <v>1</v>
      </c>
      <c r="E39" s="73" t="s">
        <v>7</v>
      </c>
      <c r="F39" s="201">
        <v>0</v>
      </c>
      <c r="G39" s="202"/>
      <c r="H39" s="202"/>
      <c r="I39" s="202"/>
      <c r="J39" s="203"/>
    </row>
    <row r="40" spans="1:13" s="69" customFormat="1" ht="21.75" thickBot="1">
      <c r="A40" s="204" t="s">
        <v>63</v>
      </c>
      <c r="B40" s="205"/>
      <c r="C40" s="206">
        <f>(J36+J37+H38+F39)</f>
        <v>3600</v>
      </c>
      <c r="D40" s="207"/>
      <c r="E40" s="207"/>
      <c r="F40" s="207"/>
      <c r="G40" s="207"/>
      <c r="H40" s="207"/>
      <c r="I40" s="207"/>
      <c r="J40" s="208"/>
      <c r="L40" s="74"/>
    </row>
    <row r="41" spans="1:13" s="69" customFormat="1" ht="21.75" thickBot="1">
      <c r="A41" s="209" t="str">
        <f>BAHTTEXT(C40)</f>
        <v>สามพันหกร้อยบาทถ้วน</v>
      </c>
      <c r="B41" s="210"/>
      <c r="C41" s="210"/>
      <c r="D41" s="210"/>
      <c r="E41" s="210"/>
      <c r="F41" s="210"/>
      <c r="G41" s="210"/>
      <c r="H41" s="210"/>
      <c r="I41" s="210"/>
      <c r="J41" s="211"/>
    </row>
    <row r="43" spans="1:13" s="1" customFormat="1">
      <c r="A43" s="212" t="s">
        <v>64</v>
      </c>
      <c r="B43" s="212"/>
      <c r="C43" s="11"/>
      <c r="D43" s="11"/>
      <c r="E43" s="198" t="s">
        <v>85</v>
      </c>
      <c r="F43" s="198"/>
      <c r="G43" s="198"/>
      <c r="H43" s="198"/>
      <c r="I43" s="198"/>
      <c r="J43" s="198"/>
      <c r="K43" s="11"/>
    </row>
    <row r="44" spans="1:13" s="1" customFormat="1">
      <c r="A44" s="198" t="s">
        <v>79</v>
      </c>
      <c r="B44" s="198"/>
      <c r="C44" s="11"/>
      <c r="D44" s="11"/>
      <c r="E44" s="198" t="s">
        <v>93</v>
      </c>
      <c r="F44" s="198"/>
      <c r="G44" s="198"/>
      <c r="H44" s="198"/>
      <c r="I44" s="198"/>
      <c r="J44" s="198"/>
      <c r="K44" s="11"/>
    </row>
    <row r="45" spans="1:13" s="1" customFormat="1">
      <c r="A45" s="198" t="s">
        <v>109</v>
      </c>
      <c r="B45" s="198"/>
      <c r="C45" s="11"/>
      <c r="D45" s="11"/>
      <c r="E45" s="198" t="s">
        <v>99</v>
      </c>
      <c r="F45" s="198"/>
      <c r="G45" s="198"/>
      <c r="H45" s="198"/>
      <c r="I45" s="198"/>
      <c r="J45" s="198"/>
      <c r="K45" s="11"/>
    </row>
    <row r="46" spans="1:13">
      <c r="E46" s="198" t="s">
        <v>100</v>
      </c>
      <c r="F46" s="198"/>
      <c r="G46" s="198"/>
      <c r="H46" s="198"/>
      <c r="I46" s="198"/>
      <c r="J46" s="198"/>
    </row>
  </sheetData>
  <mergeCells count="42">
    <mergeCell ref="A44:B44"/>
    <mergeCell ref="E44:J44"/>
    <mergeCell ref="A45:B45"/>
    <mergeCell ref="E45:J45"/>
    <mergeCell ref="E46:J46"/>
    <mergeCell ref="A31:J31"/>
    <mergeCell ref="A43:B43"/>
    <mergeCell ref="E43:J43"/>
    <mergeCell ref="C35:F35"/>
    <mergeCell ref="A36:B36"/>
    <mergeCell ref="C36:I36"/>
    <mergeCell ref="A37:B37"/>
    <mergeCell ref="C37:I37"/>
    <mergeCell ref="A38:B38"/>
    <mergeCell ref="F38:G38"/>
    <mergeCell ref="H38:J38"/>
    <mergeCell ref="A39:B39"/>
    <mergeCell ref="F39:J39"/>
    <mergeCell ref="A40:B40"/>
    <mergeCell ref="C40:J40"/>
    <mergeCell ref="A41:J41"/>
    <mergeCell ref="C32:I32"/>
    <mergeCell ref="F4:G4"/>
    <mergeCell ref="H4:I4"/>
    <mergeCell ref="J4:J5"/>
    <mergeCell ref="A6:J6"/>
    <mergeCell ref="C10:F10"/>
    <mergeCell ref="A11:J11"/>
    <mergeCell ref="A4:A5"/>
    <mergeCell ref="B4:B5"/>
    <mergeCell ref="C4:C5"/>
    <mergeCell ref="D4:D5"/>
    <mergeCell ref="E4:E5"/>
    <mergeCell ref="C25:F25"/>
    <mergeCell ref="A26:J26"/>
    <mergeCell ref="C27:I27"/>
    <mergeCell ref="C30:F30"/>
    <mergeCell ref="A1:J1"/>
    <mergeCell ref="A2:B2"/>
    <mergeCell ref="C2:G2"/>
    <mergeCell ref="H2:J2"/>
    <mergeCell ref="A3:J3"/>
  </mergeCells>
  <conditionalFormatting sqref="F39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8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6" orientation="portrait" r:id="rId1"/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50"/>
  </sheetPr>
  <dimension ref="A1:M46"/>
  <sheetViews>
    <sheetView view="pageBreakPreview" zoomScale="140" zoomScaleNormal="100" zoomScaleSheetLayoutView="140" workbookViewId="0">
      <selection activeCell="L8" sqref="L8"/>
    </sheetView>
  </sheetViews>
  <sheetFormatPr defaultColWidth="9" defaultRowHeight="24"/>
  <cols>
    <col min="1" max="1" width="5.75" style="99" customWidth="1"/>
    <col min="2" max="2" width="44.62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1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71" customFormat="1">
      <c r="A2" s="253" t="s">
        <v>34</v>
      </c>
      <c r="B2" s="253"/>
      <c r="C2" s="253" t="s">
        <v>160</v>
      </c>
      <c r="D2" s="253"/>
      <c r="E2" s="253"/>
      <c r="F2" s="253"/>
      <c r="G2" s="253"/>
      <c r="H2" s="299" t="s">
        <v>121</v>
      </c>
      <c r="I2" s="299"/>
      <c r="J2" s="299"/>
      <c r="K2" s="96"/>
    </row>
    <row r="3" spans="1:11" s="171" customFormat="1">
      <c r="A3" s="300" t="s">
        <v>159</v>
      </c>
      <c r="B3" s="300"/>
      <c r="C3" s="300"/>
      <c r="D3" s="300"/>
      <c r="E3" s="300"/>
      <c r="F3" s="300"/>
      <c r="G3" s="300"/>
      <c r="H3" s="300"/>
      <c r="I3" s="300"/>
      <c r="J3" s="300"/>
      <c r="K3" s="95"/>
    </row>
    <row r="4" spans="1:11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1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1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1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04">
        <v>1003</v>
      </c>
      <c r="G7" s="105">
        <f>D7*F7</f>
        <v>1003</v>
      </c>
      <c r="H7" s="105">
        <v>100</v>
      </c>
      <c r="I7" s="105">
        <f>D7*H7</f>
        <v>100</v>
      </c>
      <c r="J7" s="106"/>
    </row>
    <row r="8" spans="1:11" s="114" customFormat="1">
      <c r="A8" s="108"/>
      <c r="B8" s="109" t="s">
        <v>50</v>
      </c>
      <c r="C8" s="109"/>
      <c r="D8" s="109"/>
      <c r="E8" s="109"/>
      <c r="F8" s="110"/>
      <c r="G8" s="111">
        <f>SUM(G7:G7)</f>
        <v>1003</v>
      </c>
      <c r="H8" s="112"/>
      <c r="I8" s="112"/>
      <c r="J8" s="113"/>
    </row>
    <row r="9" spans="1:11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</row>
    <row r="10" spans="1:11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1003</v>
      </c>
      <c r="H10" s="124"/>
      <c r="I10" s="123">
        <f>SUM(I7:I9)</f>
        <v>100</v>
      </c>
      <c r="J10" s="125"/>
    </row>
    <row r="11" spans="1:11">
      <c r="A11" s="282" t="s">
        <v>52</v>
      </c>
      <c r="B11" s="283"/>
      <c r="C11" s="283"/>
      <c r="D11" s="283"/>
      <c r="E11" s="283"/>
      <c r="F11" s="283"/>
      <c r="G11" s="283"/>
      <c r="H11" s="283"/>
      <c r="I11" s="283"/>
      <c r="J11" s="284"/>
    </row>
    <row r="12" spans="1:11" s="107" customFormat="1">
      <c r="A12" s="126"/>
      <c r="B12" s="127" t="s">
        <v>9</v>
      </c>
      <c r="C12" s="128">
        <v>20</v>
      </c>
      <c r="D12" s="129">
        <v>2</v>
      </c>
      <c r="E12" s="128" t="s">
        <v>10</v>
      </c>
      <c r="F12" s="129">
        <v>43</v>
      </c>
      <c r="G12" s="130">
        <f t="shared" ref="G12:G18" si="0">F12*D12</f>
        <v>86</v>
      </c>
      <c r="H12" s="131">
        <v>8</v>
      </c>
      <c r="I12" s="105">
        <f t="shared" ref="I12:I21" si="1">D12*H12</f>
        <v>16</v>
      </c>
      <c r="J12" s="132"/>
    </row>
    <row r="13" spans="1:11" s="107" customFormat="1">
      <c r="A13" s="126"/>
      <c r="B13" s="127" t="s">
        <v>96</v>
      </c>
      <c r="C13" s="128" t="s">
        <v>31</v>
      </c>
      <c r="D13" s="129">
        <v>1</v>
      </c>
      <c r="E13" s="128" t="s">
        <v>13</v>
      </c>
      <c r="F13" s="182">
        <v>1000</v>
      </c>
      <c r="G13" s="130">
        <f t="shared" si="0"/>
        <v>1000</v>
      </c>
      <c r="H13" s="183">
        <v>560</v>
      </c>
      <c r="I13" s="105">
        <f t="shared" si="1"/>
        <v>560</v>
      </c>
      <c r="J13" s="132"/>
    </row>
    <row r="14" spans="1:11" s="107" customFormat="1">
      <c r="A14" s="126"/>
      <c r="B14" s="127" t="s">
        <v>23</v>
      </c>
      <c r="C14" s="128" t="s">
        <v>24</v>
      </c>
      <c r="D14" s="129">
        <v>1</v>
      </c>
      <c r="E14" s="128" t="s">
        <v>15</v>
      </c>
      <c r="F14" s="129">
        <v>85</v>
      </c>
      <c r="G14" s="130">
        <f t="shared" si="0"/>
        <v>85</v>
      </c>
      <c r="H14" s="183">
        <v>0</v>
      </c>
      <c r="I14" s="105">
        <f t="shared" si="1"/>
        <v>0</v>
      </c>
      <c r="J14" s="132"/>
    </row>
    <row r="15" spans="1:11" s="107" customFormat="1">
      <c r="A15" s="126"/>
      <c r="B15" s="127" t="s">
        <v>16</v>
      </c>
      <c r="C15" s="128">
        <v>20</v>
      </c>
      <c r="D15" s="129">
        <v>2</v>
      </c>
      <c r="E15" s="128" t="s">
        <v>15</v>
      </c>
      <c r="F15" s="129">
        <v>74</v>
      </c>
      <c r="G15" s="135">
        <f t="shared" si="0"/>
        <v>148</v>
      </c>
      <c r="H15" s="183">
        <v>0</v>
      </c>
      <c r="I15" s="105">
        <f t="shared" si="1"/>
        <v>0</v>
      </c>
      <c r="J15" s="132"/>
    </row>
    <row r="16" spans="1:11" s="107" customFormat="1">
      <c r="A16" s="126"/>
      <c r="B16" s="127" t="s">
        <v>14</v>
      </c>
      <c r="C16" s="128" t="s">
        <v>20</v>
      </c>
      <c r="D16" s="129">
        <v>2</v>
      </c>
      <c r="E16" s="128" t="s">
        <v>15</v>
      </c>
      <c r="F16" s="129">
        <v>189</v>
      </c>
      <c r="G16" s="135">
        <f t="shared" si="0"/>
        <v>378</v>
      </c>
      <c r="H16" s="183">
        <v>0</v>
      </c>
      <c r="I16" s="105">
        <f t="shared" si="1"/>
        <v>0</v>
      </c>
      <c r="J16" s="132"/>
    </row>
    <row r="17" spans="1:10" s="107" customFormat="1">
      <c r="A17" s="126"/>
      <c r="B17" s="127" t="s">
        <v>19</v>
      </c>
      <c r="C17" s="128" t="s">
        <v>6</v>
      </c>
      <c r="D17" s="129">
        <v>1</v>
      </c>
      <c r="E17" s="128" t="s">
        <v>15</v>
      </c>
      <c r="F17" s="129">
        <v>68</v>
      </c>
      <c r="G17" s="130">
        <f t="shared" si="0"/>
        <v>68</v>
      </c>
      <c r="H17" s="184">
        <v>0</v>
      </c>
      <c r="I17" s="105">
        <f t="shared" si="1"/>
        <v>0</v>
      </c>
      <c r="J17" s="132"/>
    </row>
    <row r="18" spans="1:10" s="107" customFormat="1">
      <c r="A18" s="126"/>
      <c r="B18" s="127" t="s">
        <v>35</v>
      </c>
      <c r="C18" s="128" t="s">
        <v>20</v>
      </c>
      <c r="D18" s="129">
        <v>1</v>
      </c>
      <c r="E18" s="128" t="s">
        <v>15</v>
      </c>
      <c r="F18" s="129">
        <v>81</v>
      </c>
      <c r="G18" s="130">
        <f t="shared" si="0"/>
        <v>81</v>
      </c>
      <c r="H18" s="183">
        <v>0</v>
      </c>
      <c r="I18" s="105">
        <f t="shared" si="1"/>
        <v>0</v>
      </c>
      <c r="J18" s="132"/>
    </row>
    <row r="19" spans="1:10" s="107" customFormat="1">
      <c r="A19" s="126"/>
      <c r="B19" s="127" t="s">
        <v>17</v>
      </c>
      <c r="C19" s="128"/>
      <c r="D19" s="129">
        <v>1</v>
      </c>
      <c r="E19" s="128" t="s">
        <v>18</v>
      </c>
      <c r="F19" s="129">
        <v>12</v>
      </c>
      <c r="G19" s="130">
        <f>F19*D19</f>
        <v>12</v>
      </c>
      <c r="H19" s="183">
        <v>0</v>
      </c>
      <c r="I19" s="105">
        <f t="shared" si="1"/>
        <v>0</v>
      </c>
      <c r="J19" s="132"/>
    </row>
    <row r="20" spans="1:10" s="107" customFormat="1">
      <c r="A20" s="126"/>
      <c r="B20" s="127" t="s">
        <v>36</v>
      </c>
      <c r="C20" s="128"/>
      <c r="D20" s="129">
        <v>1</v>
      </c>
      <c r="E20" s="128" t="s">
        <v>13</v>
      </c>
      <c r="F20" s="129">
        <v>3</v>
      </c>
      <c r="G20" s="130">
        <f>F20*D20</f>
        <v>3</v>
      </c>
      <c r="H20" s="183">
        <v>0</v>
      </c>
      <c r="I20" s="105">
        <f t="shared" si="1"/>
        <v>0</v>
      </c>
      <c r="J20" s="132"/>
    </row>
    <row r="21" spans="1:10" s="107" customFormat="1">
      <c r="A21" s="126"/>
      <c r="B21" s="127" t="s">
        <v>38</v>
      </c>
      <c r="C21" s="128"/>
      <c r="D21" s="129">
        <v>0.25</v>
      </c>
      <c r="E21" s="128" t="s">
        <v>37</v>
      </c>
      <c r="F21" s="129">
        <v>320</v>
      </c>
      <c r="G21" s="130">
        <f>F21*D21</f>
        <v>80</v>
      </c>
      <c r="H21" s="184">
        <v>0</v>
      </c>
      <c r="I21" s="105">
        <f t="shared" si="1"/>
        <v>0</v>
      </c>
      <c r="J21" s="132"/>
    </row>
    <row r="22" spans="1:10" s="114" customFormat="1">
      <c r="A22" s="108"/>
      <c r="B22" s="109" t="s">
        <v>50</v>
      </c>
      <c r="C22" s="109"/>
      <c r="D22" s="109"/>
      <c r="E22" s="109"/>
      <c r="F22" s="110"/>
      <c r="G22" s="111">
        <f>SUM(G12:G21)</f>
        <v>1941</v>
      </c>
      <c r="H22" s="185"/>
      <c r="I22" s="133"/>
      <c r="J22" s="113"/>
    </row>
    <row r="23" spans="1:10" s="114" customFormat="1">
      <c r="A23" s="115"/>
      <c r="B23" s="116" t="s">
        <v>51</v>
      </c>
      <c r="C23" s="116"/>
      <c r="D23" s="116"/>
      <c r="E23" s="116"/>
      <c r="F23" s="117"/>
      <c r="G23" s="118">
        <v>0</v>
      </c>
      <c r="H23" s="119"/>
      <c r="I23" s="136"/>
      <c r="J23" s="120"/>
    </row>
    <row r="24" spans="1:10" s="114" customFormat="1">
      <c r="A24" s="121"/>
      <c r="B24" s="122" t="s">
        <v>54</v>
      </c>
      <c r="C24" s="275"/>
      <c r="D24" s="276"/>
      <c r="E24" s="276"/>
      <c r="F24" s="277"/>
      <c r="G24" s="123">
        <f>SUM(G22:G23)</f>
        <v>1941</v>
      </c>
      <c r="H24" s="124"/>
      <c r="I24" s="123">
        <f>SUM(I12:I23)</f>
        <v>576</v>
      </c>
      <c r="J24" s="125"/>
    </row>
    <row r="25" spans="1:10" s="107" customFormat="1">
      <c r="A25" s="254" t="s">
        <v>55</v>
      </c>
      <c r="B25" s="278"/>
      <c r="C25" s="278"/>
      <c r="D25" s="278"/>
      <c r="E25" s="278"/>
      <c r="F25" s="278"/>
      <c r="G25" s="278"/>
      <c r="H25" s="278"/>
      <c r="I25" s="278"/>
      <c r="J25" s="255"/>
    </row>
    <row r="26" spans="1:10" s="107" customFormat="1">
      <c r="A26" s="137"/>
      <c r="B26" s="138"/>
      <c r="C26" s="279" t="s">
        <v>53</v>
      </c>
      <c r="D26" s="280"/>
      <c r="E26" s="280"/>
      <c r="F26" s="280"/>
      <c r="G26" s="280"/>
      <c r="H26" s="280"/>
      <c r="I26" s="281"/>
      <c r="J26" s="139"/>
    </row>
    <row r="27" spans="1:10" s="114" customFormat="1">
      <c r="A27" s="108"/>
      <c r="B27" s="109" t="s">
        <v>50</v>
      </c>
      <c r="C27" s="109"/>
      <c r="D27" s="109"/>
      <c r="E27" s="109"/>
      <c r="F27" s="110"/>
      <c r="G27" s="140">
        <f>SUM(G26:G26)</f>
        <v>0</v>
      </c>
      <c r="H27" s="112"/>
      <c r="I27" s="112"/>
      <c r="J27" s="113"/>
    </row>
    <row r="28" spans="1:10" s="114" customFormat="1">
      <c r="A28" s="115"/>
      <c r="B28" s="116" t="s">
        <v>51</v>
      </c>
      <c r="C28" s="116"/>
      <c r="D28" s="116"/>
      <c r="E28" s="116"/>
      <c r="F28" s="117"/>
      <c r="G28" s="118">
        <f>G27*10%</f>
        <v>0</v>
      </c>
      <c r="H28" s="119"/>
      <c r="I28" s="119"/>
      <c r="J28" s="120"/>
    </row>
    <row r="29" spans="1:10" s="114" customFormat="1">
      <c r="A29" s="141"/>
      <c r="B29" s="122" t="s">
        <v>56</v>
      </c>
      <c r="C29" s="275"/>
      <c r="D29" s="276"/>
      <c r="E29" s="276"/>
      <c r="F29" s="277"/>
      <c r="G29" s="123">
        <f>SUM(G27:G28)</f>
        <v>0</v>
      </c>
      <c r="H29" s="124"/>
      <c r="I29" s="142">
        <f>SUM(I26:I28)</f>
        <v>0</v>
      </c>
      <c r="J29" s="143">
        <f>I29+G29</f>
        <v>0</v>
      </c>
    </row>
    <row r="30" spans="1:10" s="107" customFormat="1">
      <c r="A30" s="282" t="s">
        <v>57</v>
      </c>
      <c r="B30" s="283"/>
      <c r="C30" s="283"/>
      <c r="D30" s="283"/>
      <c r="E30" s="283"/>
      <c r="F30" s="283"/>
      <c r="G30" s="283"/>
      <c r="H30" s="283"/>
      <c r="I30" s="283"/>
      <c r="J30" s="284"/>
    </row>
    <row r="31" spans="1:10" s="107" customFormat="1">
      <c r="A31" s="137"/>
      <c r="B31" s="138"/>
      <c r="C31" s="279" t="s">
        <v>53</v>
      </c>
      <c r="D31" s="280"/>
      <c r="E31" s="280"/>
      <c r="F31" s="280"/>
      <c r="G31" s="280"/>
      <c r="H31" s="280"/>
      <c r="I31" s="281"/>
      <c r="J31" s="139"/>
    </row>
    <row r="32" spans="1:10" s="107" customFormat="1">
      <c r="A32" s="144"/>
      <c r="B32" s="145" t="s">
        <v>50</v>
      </c>
      <c r="C32" s="145"/>
      <c r="D32" s="145"/>
      <c r="E32" s="145"/>
      <c r="F32" s="130"/>
      <c r="G32" s="111">
        <f>SUM(G31:G31)</f>
        <v>0</v>
      </c>
      <c r="H32" s="146"/>
      <c r="I32" s="146"/>
      <c r="J32" s="147"/>
    </row>
    <row r="33" spans="1:13" s="107" customFormat="1">
      <c r="A33" s="148"/>
      <c r="B33" s="149" t="s">
        <v>51</v>
      </c>
      <c r="C33" s="149"/>
      <c r="D33" s="149"/>
      <c r="E33" s="149"/>
      <c r="F33" s="150"/>
      <c r="G33" s="151">
        <f>G32*10%</f>
        <v>0</v>
      </c>
      <c r="H33" s="152"/>
      <c r="I33" s="152"/>
      <c r="J33" s="153"/>
    </row>
    <row r="34" spans="1:13" s="107" customFormat="1">
      <c r="A34" s="154"/>
      <c r="B34" s="155" t="s">
        <v>58</v>
      </c>
      <c r="C34" s="285"/>
      <c r="D34" s="286"/>
      <c r="E34" s="286"/>
      <c r="F34" s="287"/>
      <c r="G34" s="156">
        <f>SUM(G32:G33)</f>
        <v>0</v>
      </c>
      <c r="H34" s="157"/>
      <c r="I34" s="158">
        <f>SUM(I31:I33)</f>
        <v>0</v>
      </c>
      <c r="J34" s="159">
        <f>I34+G34</f>
        <v>0</v>
      </c>
    </row>
    <row r="35" spans="1:13" s="114" customFormat="1">
      <c r="A35" s="309" t="s">
        <v>65</v>
      </c>
      <c r="B35" s="310"/>
      <c r="C35" s="290"/>
      <c r="D35" s="291"/>
      <c r="E35" s="291"/>
      <c r="F35" s="291"/>
      <c r="G35" s="291"/>
      <c r="H35" s="291"/>
      <c r="I35" s="292"/>
      <c r="J35" s="160">
        <v>3600</v>
      </c>
      <c r="K35" s="161"/>
      <c r="L35" s="172"/>
      <c r="M35" s="173"/>
    </row>
    <row r="36" spans="1:13" s="163" customFormat="1">
      <c r="A36" s="293" t="s">
        <v>59</v>
      </c>
      <c r="B36" s="294"/>
      <c r="C36" s="295"/>
      <c r="D36" s="296"/>
      <c r="E36" s="296"/>
      <c r="F36" s="296"/>
      <c r="G36" s="296"/>
      <c r="H36" s="296"/>
      <c r="I36" s="297"/>
      <c r="J36" s="162">
        <v>0</v>
      </c>
    </row>
    <row r="37" spans="1:13" s="107" customFormat="1">
      <c r="A37" s="268" t="s">
        <v>60</v>
      </c>
      <c r="B37" s="269"/>
      <c r="C37" s="164" t="s">
        <v>8</v>
      </c>
      <c r="D37" s="165" t="s">
        <v>8</v>
      </c>
      <c r="E37" s="166" t="s">
        <v>61</v>
      </c>
      <c r="F37" s="270">
        <v>0</v>
      </c>
      <c r="G37" s="271"/>
      <c r="H37" s="272">
        <v>0</v>
      </c>
      <c r="I37" s="273"/>
      <c r="J37" s="274"/>
    </row>
    <row r="38" spans="1:13" s="163" customFormat="1">
      <c r="A38" s="254" t="s">
        <v>62</v>
      </c>
      <c r="B38" s="255"/>
      <c r="C38" s="167" t="s">
        <v>6</v>
      </c>
      <c r="D38" s="168">
        <v>1</v>
      </c>
      <c r="E38" s="169" t="s">
        <v>7</v>
      </c>
      <c r="F38" s="256">
        <v>0</v>
      </c>
      <c r="G38" s="257"/>
      <c r="H38" s="257"/>
      <c r="I38" s="257"/>
      <c r="J38" s="258"/>
    </row>
    <row r="39" spans="1:13" s="163" customFormat="1" ht="24.75" thickBot="1">
      <c r="A39" s="259" t="s">
        <v>63</v>
      </c>
      <c r="B39" s="260"/>
      <c r="C39" s="261">
        <f>(J35+J36+H37+F38)</f>
        <v>3600</v>
      </c>
      <c r="D39" s="262"/>
      <c r="E39" s="262"/>
      <c r="F39" s="262"/>
      <c r="G39" s="262"/>
      <c r="H39" s="262"/>
      <c r="I39" s="262"/>
      <c r="J39" s="263"/>
      <c r="L39" s="174"/>
    </row>
    <row r="40" spans="1:13" s="163" customFormat="1" ht="24.75" thickBot="1">
      <c r="A40" s="264" t="str">
        <f>BAHTTEXT(C39)</f>
        <v>สามพันหกร้อยบาทถ้วน</v>
      </c>
      <c r="B40" s="265"/>
      <c r="C40" s="265"/>
      <c r="D40" s="265"/>
      <c r="E40" s="265"/>
      <c r="F40" s="265"/>
      <c r="G40" s="265"/>
      <c r="H40" s="265"/>
      <c r="I40" s="265"/>
      <c r="J40" s="266"/>
    </row>
    <row r="43" spans="1:13" s="171" customFormat="1">
      <c r="A43" s="267" t="s">
        <v>64</v>
      </c>
      <c r="B43" s="267"/>
      <c r="C43" s="170"/>
      <c r="D43" s="170"/>
      <c r="E43" s="253" t="s">
        <v>85</v>
      </c>
      <c r="F43" s="253"/>
      <c r="G43" s="253"/>
      <c r="H43" s="253"/>
      <c r="I43" s="253"/>
      <c r="J43" s="253"/>
      <c r="K43" s="170"/>
    </row>
    <row r="44" spans="1:13" s="171" customFormat="1">
      <c r="A44" s="253" t="s">
        <v>79</v>
      </c>
      <c r="B44" s="253"/>
      <c r="C44" s="170"/>
      <c r="D44" s="170"/>
      <c r="E44" s="253" t="s">
        <v>154</v>
      </c>
      <c r="F44" s="253"/>
      <c r="G44" s="253"/>
      <c r="H44" s="253"/>
      <c r="I44" s="253"/>
      <c r="J44" s="253"/>
      <c r="K44" s="170"/>
    </row>
    <row r="45" spans="1:13" s="171" customFormat="1">
      <c r="A45" s="253" t="s">
        <v>151</v>
      </c>
      <c r="B45" s="253"/>
      <c r="C45" s="170"/>
      <c r="D45" s="170"/>
      <c r="E45" s="253" t="s">
        <v>120</v>
      </c>
      <c r="F45" s="253"/>
      <c r="G45" s="253"/>
      <c r="H45" s="253"/>
      <c r="I45" s="253"/>
      <c r="J45" s="253"/>
      <c r="K45" s="170"/>
    </row>
    <row r="46" spans="1:13">
      <c r="E46" s="253"/>
      <c r="F46" s="253"/>
      <c r="G46" s="253"/>
      <c r="H46" s="253"/>
      <c r="I46" s="253"/>
      <c r="J46" s="253"/>
    </row>
  </sheetData>
  <mergeCells count="42">
    <mergeCell ref="E46:J46"/>
    <mergeCell ref="A38:B38"/>
    <mergeCell ref="F38:J38"/>
    <mergeCell ref="A39:B39"/>
    <mergeCell ref="C39:J39"/>
    <mergeCell ref="A40:J40"/>
    <mergeCell ref="A43:B43"/>
    <mergeCell ref="E43:J43"/>
    <mergeCell ref="A44:B44"/>
    <mergeCell ref="A45:B45"/>
    <mergeCell ref="E44:J44"/>
    <mergeCell ref="E45:J45"/>
    <mergeCell ref="A37:B37"/>
    <mergeCell ref="F37:G37"/>
    <mergeCell ref="H37:J37"/>
    <mergeCell ref="C24:F24"/>
    <mergeCell ref="A25:J25"/>
    <mergeCell ref="C26:I26"/>
    <mergeCell ref="C29:F29"/>
    <mergeCell ref="A30:J30"/>
    <mergeCell ref="C31:I31"/>
    <mergeCell ref="C34:F34"/>
    <mergeCell ref="A35:B35"/>
    <mergeCell ref="C35:I35"/>
    <mergeCell ref="A36:B36"/>
    <mergeCell ref="C36:I36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</mergeCells>
  <conditionalFormatting sqref="F38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7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7" orientation="portrait" r:id="rId1"/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0000"/>
  </sheetPr>
  <dimension ref="A1:M45"/>
  <sheetViews>
    <sheetView view="pageBreakPreview" zoomScaleNormal="100" zoomScaleSheetLayoutView="100" workbookViewId="0">
      <selection activeCell="E44" sqref="E44:J44"/>
    </sheetView>
  </sheetViews>
  <sheetFormatPr defaultColWidth="9" defaultRowHeight="21"/>
  <cols>
    <col min="1" max="1" width="5.75" style="14" customWidth="1"/>
    <col min="2" max="2" width="44.625" style="14" customWidth="1"/>
    <col min="3" max="3" width="8.625" style="14" customWidth="1"/>
    <col min="4" max="6" width="7.625" style="14" customWidth="1"/>
    <col min="7" max="7" width="8.625" style="14" customWidth="1"/>
    <col min="8" max="8" width="7.625" style="14" customWidth="1"/>
    <col min="9" max="9" width="8.625" style="14" customWidth="1"/>
    <col min="10" max="10" width="9.625" style="14" customWidth="1"/>
    <col min="11" max="16384" width="9" style="14"/>
  </cols>
  <sheetData>
    <row r="1" spans="1:11" s="1" customFormat="1" ht="23.25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10"/>
    </row>
    <row r="2" spans="1:11" s="1" customFormat="1">
      <c r="A2" s="198" t="s">
        <v>34</v>
      </c>
      <c r="B2" s="198"/>
      <c r="C2" s="198" t="s">
        <v>74</v>
      </c>
      <c r="D2" s="198"/>
      <c r="E2" s="198"/>
      <c r="F2" s="198"/>
      <c r="G2" s="198"/>
      <c r="H2" s="244" t="s">
        <v>66</v>
      </c>
      <c r="I2" s="244"/>
      <c r="J2" s="244"/>
      <c r="K2" s="89"/>
    </row>
    <row r="3" spans="1:11" s="1" customFormat="1">
      <c r="A3" s="245" t="s">
        <v>78</v>
      </c>
      <c r="B3" s="245"/>
      <c r="C3" s="245"/>
      <c r="D3" s="245"/>
      <c r="E3" s="245"/>
      <c r="F3" s="245"/>
      <c r="G3" s="245"/>
      <c r="H3" s="245"/>
      <c r="I3" s="245"/>
      <c r="J3" s="245"/>
      <c r="K3" s="9"/>
    </row>
    <row r="4" spans="1:11" s="12" customFormat="1">
      <c r="A4" s="246" t="s">
        <v>43</v>
      </c>
      <c r="B4" s="246" t="s">
        <v>1</v>
      </c>
      <c r="C4" s="246" t="s">
        <v>2</v>
      </c>
      <c r="D4" s="246" t="s">
        <v>3</v>
      </c>
      <c r="E4" s="246" t="s">
        <v>4</v>
      </c>
      <c r="F4" s="249" t="s">
        <v>44</v>
      </c>
      <c r="G4" s="250"/>
      <c r="H4" s="249" t="s">
        <v>45</v>
      </c>
      <c r="I4" s="250"/>
      <c r="J4" s="251" t="s">
        <v>5</v>
      </c>
    </row>
    <row r="5" spans="1:11" s="12" customFormat="1">
      <c r="A5" s="247"/>
      <c r="B5" s="247"/>
      <c r="C5" s="248"/>
      <c r="D5" s="248"/>
      <c r="E5" s="248"/>
      <c r="F5" s="13" t="s">
        <v>46</v>
      </c>
      <c r="G5" s="13" t="s">
        <v>47</v>
      </c>
      <c r="H5" s="13" t="s">
        <v>46</v>
      </c>
      <c r="I5" s="13" t="s">
        <v>47</v>
      </c>
      <c r="J5" s="252"/>
    </row>
    <row r="6" spans="1:11">
      <c r="A6" s="227" t="s">
        <v>48</v>
      </c>
      <c r="B6" s="228"/>
      <c r="C6" s="228"/>
      <c r="D6" s="228"/>
      <c r="E6" s="228"/>
      <c r="F6" s="228"/>
      <c r="G6" s="228"/>
      <c r="H6" s="228"/>
      <c r="I6" s="228"/>
      <c r="J6" s="229"/>
    </row>
    <row r="7" spans="1:11" s="19" customFormat="1">
      <c r="A7" s="2"/>
      <c r="B7" s="3" t="s">
        <v>49</v>
      </c>
      <c r="C7" s="15" t="s">
        <v>6</v>
      </c>
      <c r="D7" s="15">
        <v>1</v>
      </c>
      <c r="E7" s="16" t="s">
        <v>7</v>
      </c>
      <c r="F7" s="4">
        <v>610</v>
      </c>
      <c r="G7" s="17">
        <f>D7*F7</f>
        <v>610</v>
      </c>
      <c r="H7" s="17">
        <v>100</v>
      </c>
      <c r="I7" s="17">
        <f>D7*H7</f>
        <v>100</v>
      </c>
      <c r="J7" s="18"/>
    </row>
    <row r="8" spans="1:11" s="26" customFormat="1">
      <c r="A8" s="20"/>
      <c r="B8" s="21" t="s">
        <v>50</v>
      </c>
      <c r="C8" s="21"/>
      <c r="D8" s="21"/>
      <c r="E8" s="21"/>
      <c r="F8" s="22"/>
      <c r="G8" s="23">
        <f>SUM(G7:G7)</f>
        <v>610</v>
      </c>
      <c r="H8" s="24"/>
      <c r="I8" s="24"/>
      <c r="J8" s="25"/>
    </row>
    <row r="9" spans="1:11" s="26" customFormat="1">
      <c r="A9" s="27"/>
      <c r="B9" s="28" t="s">
        <v>51</v>
      </c>
      <c r="C9" s="28"/>
      <c r="D9" s="28"/>
      <c r="E9" s="28"/>
      <c r="F9" s="29"/>
      <c r="G9" s="30">
        <v>0</v>
      </c>
      <c r="H9" s="31"/>
      <c r="I9" s="31"/>
      <c r="J9" s="32"/>
    </row>
    <row r="10" spans="1:11" s="26" customFormat="1">
      <c r="A10" s="33"/>
      <c r="B10" s="34" t="s">
        <v>21</v>
      </c>
      <c r="C10" s="213"/>
      <c r="D10" s="214"/>
      <c r="E10" s="214"/>
      <c r="F10" s="215"/>
      <c r="G10" s="35">
        <f>SUM(G8:G9)</f>
        <v>610</v>
      </c>
      <c r="H10" s="36"/>
      <c r="I10" s="35">
        <f>SUM(I7:I9)</f>
        <v>100</v>
      </c>
      <c r="J10" s="37"/>
    </row>
    <row r="11" spans="1:11">
      <c r="A11" s="227" t="s">
        <v>52</v>
      </c>
      <c r="B11" s="228"/>
      <c r="C11" s="228"/>
      <c r="D11" s="228"/>
      <c r="E11" s="228"/>
      <c r="F11" s="228"/>
      <c r="G11" s="228"/>
      <c r="H11" s="228"/>
      <c r="I11" s="228"/>
      <c r="J11" s="229"/>
    </row>
    <row r="12" spans="1:11" s="19" customFormat="1">
      <c r="A12" s="41"/>
      <c r="B12" s="5" t="s">
        <v>9</v>
      </c>
      <c r="C12" s="6">
        <v>20</v>
      </c>
      <c r="D12" s="7">
        <v>1</v>
      </c>
      <c r="E12" s="6" t="s">
        <v>10</v>
      </c>
      <c r="F12" s="7">
        <v>39</v>
      </c>
      <c r="G12" s="42">
        <f t="shared" ref="G12:G18" si="0">F12*D12</f>
        <v>39</v>
      </c>
      <c r="H12" s="90">
        <v>8</v>
      </c>
      <c r="I12" s="17">
        <f>D12*H12</f>
        <v>8</v>
      </c>
      <c r="J12" s="43"/>
    </row>
    <row r="13" spans="1:11" s="19" customFormat="1">
      <c r="A13" s="41"/>
      <c r="B13" s="5" t="s">
        <v>32</v>
      </c>
      <c r="C13" s="6" t="s">
        <v>41</v>
      </c>
      <c r="D13" s="7">
        <v>1</v>
      </c>
      <c r="E13" s="6" t="s">
        <v>13</v>
      </c>
      <c r="F13" s="8">
        <v>1450</v>
      </c>
      <c r="G13" s="42">
        <f t="shared" si="0"/>
        <v>1450</v>
      </c>
      <c r="H13" s="91">
        <v>780</v>
      </c>
      <c r="I13" s="17">
        <f>D13*H13</f>
        <v>780</v>
      </c>
      <c r="J13" s="43"/>
    </row>
    <row r="14" spans="1:11" s="19" customFormat="1">
      <c r="A14" s="41"/>
      <c r="B14" s="5" t="s">
        <v>23</v>
      </c>
      <c r="C14" s="6" t="s">
        <v>24</v>
      </c>
      <c r="D14" s="7">
        <v>1</v>
      </c>
      <c r="E14" s="6" t="s">
        <v>15</v>
      </c>
      <c r="F14" s="7">
        <v>81</v>
      </c>
      <c r="G14" s="42">
        <f t="shared" si="0"/>
        <v>81</v>
      </c>
      <c r="H14" s="79">
        <v>0</v>
      </c>
      <c r="I14" s="79">
        <v>0</v>
      </c>
      <c r="J14" s="43"/>
    </row>
    <row r="15" spans="1:11" s="19" customFormat="1">
      <c r="A15" s="41"/>
      <c r="B15" s="5" t="s">
        <v>16</v>
      </c>
      <c r="C15" s="6">
        <v>20</v>
      </c>
      <c r="D15" s="7">
        <v>2</v>
      </c>
      <c r="E15" s="6" t="s">
        <v>15</v>
      </c>
      <c r="F15" s="7">
        <v>70</v>
      </c>
      <c r="G15" s="75">
        <f t="shared" si="0"/>
        <v>140</v>
      </c>
      <c r="H15" s="79">
        <v>0</v>
      </c>
      <c r="I15" s="79">
        <v>0</v>
      </c>
      <c r="J15" s="43"/>
    </row>
    <row r="16" spans="1:11" s="19" customFormat="1">
      <c r="A16" s="41"/>
      <c r="B16" s="5" t="s">
        <v>14</v>
      </c>
      <c r="C16" s="6" t="s">
        <v>20</v>
      </c>
      <c r="D16" s="7">
        <v>2</v>
      </c>
      <c r="E16" s="6" t="s">
        <v>15</v>
      </c>
      <c r="F16" s="7">
        <v>175</v>
      </c>
      <c r="G16" s="75">
        <f t="shared" si="0"/>
        <v>350</v>
      </c>
      <c r="H16" s="79">
        <v>0</v>
      </c>
      <c r="I16" s="79">
        <v>0</v>
      </c>
      <c r="J16" s="43"/>
    </row>
    <row r="17" spans="1:10" s="19" customFormat="1">
      <c r="A17" s="41"/>
      <c r="B17" s="5" t="s">
        <v>19</v>
      </c>
      <c r="C17" s="6" t="s">
        <v>6</v>
      </c>
      <c r="D17" s="7">
        <v>1</v>
      </c>
      <c r="E17" s="6" t="s">
        <v>15</v>
      </c>
      <c r="F17" s="7">
        <v>65</v>
      </c>
      <c r="G17" s="42">
        <f t="shared" si="0"/>
        <v>65</v>
      </c>
      <c r="H17" s="80">
        <v>0</v>
      </c>
      <c r="I17" s="79">
        <v>0</v>
      </c>
      <c r="J17" s="43"/>
    </row>
    <row r="18" spans="1:10" s="19" customFormat="1">
      <c r="A18" s="41"/>
      <c r="B18" s="5" t="s">
        <v>35</v>
      </c>
      <c r="C18" s="6" t="s">
        <v>20</v>
      </c>
      <c r="D18" s="7">
        <v>1</v>
      </c>
      <c r="E18" s="6" t="s">
        <v>15</v>
      </c>
      <c r="F18" s="7">
        <v>77</v>
      </c>
      <c r="G18" s="42">
        <f t="shared" si="0"/>
        <v>77</v>
      </c>
      <c r="H18" s="79">
        <v>0</v>
      </c>
      <c r="I18" s="79">
        <v>0</v>
      </c>
      <c r="J18" s="43"/>
    </row>
    <row r="19" spans="1:10" s="19" customFormat="1">
      <c r="A19" s="41"/>
      <c r="B19" s="5" t="s">
        <v>17</v>
      </c>
      <c r="C19" s="6"/>
      <c r="D19" s="7">
        <v>1</v>
      </c>
      <c r="E19" s="6" t="s">
        <v>18</v>
      </c>
      <c r="F19" s="7">
        <v>12</v>
      </c>
      <c r="G19" s="42">
        <f>F19*D19</f>
        <v>12</v>
      </c>
      <c r="H19" s="79">
        <v>0</v>
      </c>
      <c r="I19" s="79">
        <v>0</v>
      </c>
      <c r="J19" s="43"/>
    </row>
    <row r="20" spans="1:10" s="19" customFormat="1">
      <c r="A20" s="41"/>
      <c r="B20" s="5" t="s">
        <v>36</v>
      </c>
      <c r="C20" s="6"/>
      <c r="D20" s="7">
        <v>1</v>
      </c>
      <c r="E20" s="6" t="s">
        <v>13</v>
      </c>
      <c r="F20" s="7">
        <v>3</v>
      </c>
      <c r="G20" s="42">
        <f>F20*D20</f>
        <v>3</v>
      </c>
      <c r="H20" s="79">
        <v>0</v>
      </c>
      <c r="I20" s="79">
        <v>0</v>
      </c>
      <c r="J20" s="43"/>
    </row>
    <row r="21" spans="1:10" s="19" customFormat="1">
      <c r="A21" s="41"/>
      <c r="B21" s="5" t="s">
        <v>38</v>
      </c>
      <c r="C21" s="6"/>
      <c r="D21" s="7">
        <v>0</v>
      </c>
      <c r="E21" s="6" t="s">
        <v>37</v>
      </c>
      <c r="F21" s="7">
        <v>320</v>
      </c>
      <c r="G21" s="42">
        <f>F21*D21</f>
        <v>0</v>
      </c>
      <c r="H21" s="80">
        <v>0</v>
      </c>
      <c r="I21" s="79">
        <v>0</v>
      </c>
      <c r="J21" s="43"/>
    </row>
    <row r="22" spans="1:10" s="26" customFormat="1">
      <c r="A22" s="20"/>
      <c r="B22" s="21" t="s">
        <v>50</v>
      </c>
      <c r="C22" s="21"/>
      <c r="D22" s="21"/>
      <c r="E22" s="21"/>
      <c r="F22" s="22"/>
      <c r="G22" s="23">
        <f>SUM(G12:G21)</f>
        <v>2217</v>
      </c>
      <c r="H22" s="81"/>
      <c r="I22" s="79"/>
      <c r="J22" s="25"/>
    </row>
    <row r="23" spans="1:10" s="26" customFormat="1">
      <c r="A23" s="27"/>
      <c r="B23" s="28" t="s">
        <v>51</v>
      </c>
      <c r="C23" s="28"/>
      <c r="D23" s="28"/>
      <c r="E23" s="28"/>
      <c r="F23" s="29"/>
      <c r="G23" s="30">
        <v>0</v>
      </c>
      <c r="H23" s="31"/>
      <c r="I23" s="78"/>
      <c r="J23" s="32"/>
    </row>
    <row r="24" spans="1:10" s="26" customFormat="1">
      <c r="A24" s="33"/>
      <c r="B24" s="34" t="s">
        <v>54</v>
      </c>
      <c r="C24" s="213"/>
      <c r="D24" s="214"/>
      <c r="E24" s="214"/>
      <c r="F24" s="215"/>
      <c r="G24" s="35">
        <f>SUM(G22:G23)</f>
        <v>2217</v>
      </c>
      <c r="H24" s="36"/>
      <c r="I24" s="35">
        <f>SUM(I12:I23)</f>
        <v>788</v>
      </c>
      <c r="J24" s="37"/>
    </row>
    <row r="25" spans="1:10" s="19" customFormat="1">
      <c r="A25" s="199" t="s">
        <v>55</v>
      </c>
      <c r="B25" s="223"/>
      <c r="C25" s="223"/>
      <c r="D25" s="223"/>
      <c r="E25" s="223"/>
      <c r="F25" s="223"/>
      <c r="G25" s="223"/>
      <c r="H25" s="223"/>
      <c r="I25" s="223"/>
      <c r="J25" s="200"/>
    </row>
    <row r="26" spans="1:10" s="19" customFormat="1">
      <c r="A26" s="38"/>
      <c r="B26" s="39"/>
      <c r="C26" s="224" t="s">
        <v>53</v>
      </c>
      <c r="D26" s="225"/>
      <c r="E26" s="225"/>
      <c r="F26" s="225"/>
      <c r="G26" s="225"/>
      <c r="H26" s="225"/>
      <c r="I26" s="226"/>
      <c r="J26" s="40"/>
    </row>
    <row r="27" spans="1:10" s="26" customFormat="1">
      <c r="A27" s="20"/>
      <c r="B27" s="21" t="s">
        <v>50</v>
      </c>
      <c r="C27" s="21"/>
      <c r="D27" s="21"/>
      <c r="E27" s="21"/>
      <c r="F27" s="22"/>
      <c r="G27" s="44">
        <f>SUM(G26:G26)</f>
        <v>0</v>
      </c>
      <c r="H27" s="24"/>
      <c r="I27" s="24"/>
      <c r="J27" s="25"/>
    </row>
    <row r="28" spans="1:10" s="26" customFormat="1">
      <c r="A28" s="27"/>
      <c r="B28" s="28" t="s">
        <v>51</v>
      </c>
      <c r="C28" s="28"/>
      <c r="D28" s="28"/>
      <c r="E28" s="28"/>
      <c r="F28" s="29"/>
      <c r="G28" s="30">
        <f>G27*10%</f>
        <v>0</v>
      </c>
      <c r="H28" s="31"/>
      <c r="I28" s="31"/>
      <c r="J28" s="32"/>
    </row>
    <row r="29" spans="1:10" s="26" customFormat="1">
      <c r="A29" s="45"/>
      <c r="B29" s="34" t="s">
        <v>56</v>
      </c>
      <c r="C29" s="213"/>
      <c r="D29" s="214"/>
      <c r="E29" s="214"/>
      <c r="F29" s="215"/>
      <c r="G29" s="35">
        <f>SUM(G27:G28)</f>
        <v>0</v>
      </c>
      <c r="H29" s="36"/>
      <c r="I29" s="46">
        <f>SUM(I26:I28)</f>
        <v>0</v>
      </c>
      <c r="J29" s="47">
        <f>I29+G29</f>
        <v>0</v>
      </c>
    </row>
    <row r="30" spans="1:10" s="19" customFormat="1">
      <c r="A30" s="227" t="s">
        <v>57</v>
      </c>
      <c r="B30" s="228"/>
      <c r="C30" s="228"/>
      <c r="D30" s="228"/>
      <c r="E30" s="228"/>
      <c r="F30" s="228"/>
      <c r="G30" s="228"/>
      <c r="H30" s="228"/>
      <c r="I30" s="228"/>
      <c r="J30" s="229"/>
    </row>
    <row r="31" spans="1:10" s="19" customFormat="1">
      <c r="A31" s="38"/>
      <c r="B31" s="39"/>
      <c r="C31" s="224" t="s">
        <v>53</v>
      </c>
      <c r="D31" s="225"/>
      <c r="E31" s="225"/>
      <c r="F31" s="225"/>
      <c r="G31" s="225"/>
      <c r="H31" s="225"/>
      <c r="I31" s="226"/>
      <c r="J31" s="40"/>
    </row>
    <row r="32" spans="1:10" s="19" customFormat="1">
      <c r="A32" s="49"/>
      <c r="B32" s="48" t="s">
        <v>50</v>
      </c>
      <c r="C32" s="48"/>
      <c r="D32" s="48"/>
      <c r="E32" s="48"/>
      <c r="F32" s="42"/>
      <c r="G32" s="23">
        <f>SUM(G31:G31)</f>
        <v>0</v>
      </c>
      <c r="H32" s="50"/>
      <c r="I32" s="50"/>
      <c r="J32" s="51"/>
    </row>
    <row r="33" spans="1:13" s="19" customFormat="1">
      <c r="A33" s="52"/>
      <c r="B33" s="53" t="s">
        <v>51</v>
      </c>
      <c r="C33" s="53"/>
      <c r="D33" s="53"/>
      <c r="E33" s="53"/>
      <c r="F33" s="54"/>
      <c r="G33" s="55">
        <f>G32*10%</f>
        <v>0</v>
      </c>
      <c r="H33" s="56"/>
      <c r="I33" s="56"/>
      <c r="J33" s="57"/>
    </row>
    <row r="34" spans="1:13" s="19" customFormat="1">
      <c r="A34" s="58"/>
      <c r="B34" s="59" t="s">
        <v>58</v>
      </c>
      <c r="C34" s="230"/>
      <c r="D34" s="231"/>
      <c r="E34" s="231"/>
      <c r="F34" s="232"/>
      <c r="G34" s="60">
        <f>SUM(G32:G33)</f>
        <v>0</v>
      </c>
      <c r="H34" s="61"/>
      <c r="I34" s="62">
        <f>SUM(I31:I33)</f>
        <v>0</v>
      </c>
      <c r="J34" s="63">
        <f>I34+G34</f>
        <v>0</v>
      </c>
    </row>
    <row r="35" spans="1:13" s="26" customFormat="1">
      <c r="A35" s="233" t="s">
        <v>65</v>
      </c>
      <c r="B35" s="234"/>
      <c r="C35" s="235"/>
      <c r="D35" s="236"/>
      <c r="E35" s="236"/>
      <c r="F35" s="236"/>
      <c r="G35" s="236"/>
      <c r="H35" s="236"/>
      <c r="I35" s="237"/>
      <c r="J35" s="64">
        <v>3600</v>
      </c>
      <c r="K35" s="65"/>
      <c r="L35" s="66"/>
      <c r="M35" s="67"/>
    </row>
    <row r="36" spans="1:13" s="69" customFormat="1">
      <c r="A36" s="238" t="s">
        <v>59</v>
      </c>
      <c r="B36" s="239"/>
      <c r="C36" s="240"/>
      <c r="D36" s="241"/>
      <c r="E36" s="241"/>
      <c r="F36" s="241"/>
      <c r="G36" s="241"/>
      <c r="H36" s="241"/>
      <c r="I36" s="242"/>
      <c r="J36" s="68">
        <v>0</v>
      </c>
    </row>
    <row r="37" spans="1:13" s="19" customFormat="1">
      <c r="A37" s="216" t="s">
        <v>60</v>
      </c>
      <c r="B37" s="217"/>
      <c r="C37" s="76" t="s">
        <v>8</v>
      </c>
      <c r="D37" s="70" t="s">
        <v>8</v>
      </c>
      <c r="E37" s="71" t="s">
        <v>61</v>
      </c>
      <c r="F37" s="218">
        <v>0</v>
      </c>
      <c r="G37" s="219"/>
      <c r="H37" s="220">
        <v>0</v>
      </c>
      <c r="I37" s="221"/>
      <c r="J37" s="222"/>
    </row>
    <row r="38" spans="1:13" s="69" customFormat="1">
      <c r="A38" s="199" t="s">
        <v>62</v>
      </c>
      <c r="B38" s="200"/>
      <c r="C38" s="77" t="s">
        <v>6</v>
      </c>
      <c r="D38" s="72">
        <v>1</v>
      </c>
      <c r="E38" s="73" t="s">
        <v>7</v>
      </c>
      <c r="F38" s="201">
        <v>535</v>
      </c>
      <c r="G38" s="202"/>
      <c r="H38" s="202"/>
      <c r="I38" s="202"/>
      <c r="J38" s="203"/>
    </row>
    <row r="39" spans="1:13" s="69" customFormat="1" ht="21.75" thickBot="1">
      <c r="A39" s="204" t="s">
        <v>63</v>
      </c>
      <c r="B39" s="205"/>
      <c r="C39" s="206">
        <f>(J35+J36+H37+F38)</f>
        <v>4135</v>
      </c>
      <c r="D39" s="207"/>
      <c r="E39" s="207"/>
      <c r="F39" s="207"/>
      <c r="G39" s="207"/>
      <c r="H39" s="207"/>
      <c r="I39" s="207"/>
      <c r="J39" s="208"/>
      <c r="L39" s="74"/>
    </row>
    <row r="40" spans="1:13" s="69" customFormat="1" ht="21.75" thickBot="1">
      <c r="A40" s="209" t="str">
        <f>BAHTTEXT(C39)</f>
        <v>สี่พันหนึ่งร้อยสามสิบห้าบาทถ้วน</v>
      </c>
      <c r="B40" s="210"/>
      <c r="C40" s="210"/>
      <c r="D40" s="210"/>
      <c r="E40" s="210"/>
      <c r="F40" s="210"/>
      <c r="G40" s="210"/>
      <c r="H40" s="210"/>
      <c r="I40" s="210"/>
      <c r="J40" s="211"/>
    </row>
    <row r="42" spans="1:13" s="1" customFormat="1">
      <c r="A42" s="212" t="s">
        <v>64</v>
      </c>
      <c r="B42" s="212"/>
      <c r="C42" s="11"/>
      <c r="D42" s="11"/>
      <c r="E42" s="198" t="s">
        <v>85</v>
      </c>
      <c r="F42" s="198"/>
      <c r="G42" s="198"/>
      <c r="H42" s="198"/>
      <c r="I42" s="198"/>
      <c r="J42" s="198"/>
      <c r="K42" s="11"/>
    </row>
    <row r="43" spans="1:13" s="1" customFormat="1">
      <c r="A43" s="198" t="s">
        <v>79</v>
      </c>
      <c r="B43" s="198"/>
      <c r="C43" s="11"/>
      <c r="D43" s="11"/>
      <c r="E43" s="198" t="s">
        <v>93</v>
      </c>
      <c r="F43" s="198"/>
      <c r="G43" s="198"/>
      <c r="H43" s="198"/>
      <c r="I43" s="198"/>
      <c r="J43" s="198"/>
      <c r="K43" s="11"/>
    </row>
    <row r="44" spans="1:13" s="1" customFormat="1">
      <c r="A44" s="198" t="s">
        <v>109</v>
      </c>
      <c r="B44" s="198"/>
      <c r="C44" s="11"/>
      <c r="D44" s="11"/>
      <c r="E44" s="198" t="s">
        <v>99</v>
      </c>
      <c r="F44" s="198"/>
      <c r="G44" s="198"/>
      <c r="H44" s="198"/>
      <c r="I44" s="198"/>
      <c r="J44" s="198"/>
      <c r="K44" s="11"/>
    </row>
    <row r="45" spans="1:13">
      <c r="E45" s="198" t="s">
        <v>100</v>
      </c>
      <c r="F45" s="198"/>
      <c r="G45" s="198"/>
      <c r="H45" s="198"/>
      <c r="I45" s="198"/>
      <c r="J45" s="198"/>
    </row>
  </sheetData>
  <mergeCells count="42">
    <mergeCell ref="E45:J45"/>
    <mergeCell ref="A43:B43"/>
    <mergeCell ref="A44:B44"/>
    <mergeCell ref="A38:B38"/>
    <mergeCell ref="F38:J38"/>
    <mergeCell ref="A39:B39"/>
    <mergeCell ref="C39:J39"/>
    <mergeCell ref="A40:J40"/>
    <mergeCell ref="A42:B42"/>
    <mergeCell ref="E42:J42"/>
    <mergeCell ref="E43:J43"/>
    <mergeCell ref="E44:J44"/>
    <mergeCell ref="A37:B37"/>
    <mergeCell ref="F37:G37"/>
    <mergeCell ref="H37:J37"/>
    <mergeCell ref="C24:F24"/>
    <mergeCell ref="A25:J25"/>
    <mergeCell ref="C26:I26"/>
    <mergeCell ref="C29:F29"/>
    <mergeCell ref="A30:J30"/>
    <mergeCell ref="C31:I31"/>
    <mergeCell ref="C34:F34"/>
    <mergeCell ref="A35:B35"/>
    <mergeCell ref="C35:I35"/>
    <mergeCell ref="A36:B36"/>
    <mergeCell ref="C36:I36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</mergeCells>
  <conditionalFormatting sqref="F38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7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ageMargins left="0.78740157480314965" right="3.937007874015748E-2" top="0.55118110236220474" bottom="3.937007874015748E-2" header="0.31496062992125984" footer="0.31496062992125984"/>
  <pageSetup paperSize="9" scale="70" orientation="portrait" r:id="rId1"/>
  <colBreaks count="1" manualBreakCount="1">
    <brk id="1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50"/>
  </sheetPr>
  <dimension ref="A1:M46"/>
  <sheetViews>
    <sheetView zoomScale="140" zoomScaleNormal="140" workbookViewId="0">
      <selection activeCell="F7" sqref="F7"/>
    </sheetView>
  </sheetViews>
  <sheetFormatPr defaultColWidth="9" defaultRowHeight="24"/>
  <cols>
    <col min="1" max="1" width="5.75" style="99" customWidth="1"/>
    <col min="2" max="2" width="45.2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2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2" s="171" customFormat="1">
      <c r="A2" s="253" t="s">
        <v>34</v>
      </c>
      <c r="B2" s="253"/>
      <c r="C2" s="253" t="s">
        <v>119</v>
      </c>
      <c r="D2" s="253"/>
      <c r="E2" s="253"/>
      <c r="F2" s="253"/>
      <c r="G2" s="253"/>
      <c r="H2" s="299" t="s">
        <v>121</v>
      </c>
      <c r="I2" s="299"/>
      <c r="J2" s="299"/>
      <c r="K2" s="96"/>
    </row>
    <row r="3" spans="1:12" s="171" customFormat="1">
      <c r="A3" s="308" t="s">
        <v>133</v>
      </c>
      <c r="B3" s="308"/>
      <c r="C3" s="308"/>
      <c r="D3" s="308"/>
      <c r="E3" s="308"/>
      <c r="F3" s="308"/>
      <c r="G3" s="308"/>
      <c r="H3" s="308"/>
      <c r="I3" s="308"/>
      <c r="J3" s="308"/>
      <c r="K3" s="170"/>
    </row>
    <row r="4" spans="1:12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2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2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2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04">
        <v>986</v>
      </c>
      <c r="G7" s="105">
        <f>D7*F7</f>
        <v>986</v>
      </c>
      <c r="H7" s="105">
        <v>100</v>
      </c>
      <c r="I7" s="105">
        <f>D7*H7</f>
        <v>100</v>
      </c>
      <c r="J7" s="106"/>
    </row>
    <row r="8" spans="1:12" s="114" customFormat="1">
      <c r="A8" s="108"/>
      <c r="B8" s="109" t="s">
        <v>50</v>
      </c>
      <c r="C8" s="109"/>
      <c r="D8" s="109"/>
      <c r="E8" s="109"/>
      <c r="F8" s="110"/>
      <c r="G8" s="111">
        <f>SUM(G7:G7)</f>
        <v>986</v>
      </c>
      <c r="H8" s="112"/>
      <c r="I8" s="112"/>
      <c r="J8" s="113"/>
      <c r="L8" s="114" t="s">
        <v>76</v>
      </c>
    </row>
    <row r="9" spans="1:12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  <c r="L9" s="114" t="s">
        <v>75</v>
      </c>
    </row>
    <row r="10" spans="1:12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986</v>
      </c>
      <c r="H10" s="124"/>
      <c r="I10" s="123">
        <f>SUM(I7:I9)</f>
        <v>100</v>
      </c>
      <c r="J10" s="125"/>
    </row>
    <row r="11" spans="1:12">
      <c r="A11" s="316" t="s">
        <v>52</v>
      </c>
      <c r="B11" s="317"/>
      <c r="C11" s="317"/>
      <c r="D11" s="317"/>
      <c r="E11" s="317"/>
      <c r="F11" s="317"/>
      <c r="G11" s="317"/>
      <c r="H11" s="317"/>
      <c r="I11" s="317"/>
      <c r="J11" s="318"/>
    </row>
    <row r="12" spans="1:12" s="107" customFormat="1">
      <c r="A12" s="175"/>
      <c r="B12" s="176" t="s">
        <v>9</v>
      </c>
      <c r="C12" s="177">
        <v>20</v>
      </c>
      <c r="D12" s="137">
        <v>8</v>
      </c>
      <c r="E12" s="177" t="s">
        <v>10</v>
      </c>
      <c r="F12" s="137">
        <v>43</v>
      </c>
      <c r="G12" s="178">
        <f t="shared" ref="G12:G19" si="0">F12*D12</f>
        <v>344</v>
      </c>
      <c r="H12" s="179">
        <v>8</v>
      </c>
      <c r="I12" s="180">
        <f t="shared" ref="I12:I22" si="1">D12*H12</f>
        <v>64</v>
      </c>
      <c r="J12" s="181"/>
    </row>
    <row r="13" spans="1:12" s="107" customFormat="1">
      <c r="A13" s="126"/>
      <c r="B13" s="127" t="s">
        <v>103</v>
      </c>
      <c r="C13" s="128" t="s">
        <v>71</v>
      </c>
      <c r="D13" s="129">
        <v>6</v>
      </c>
      <c r="E13" s="177" t="s">
        <v>10</v>
      </c>
      <c r="F13" s="182">
        <v>149</v>
      </c>
      <c r="G13" s="130">
        <f>F13*D13</f>
        <v>894</v>
      </c>
      <c r="H13" s="183">
        <v>17</v>
      </c>
      <c r="I13" s="105">
        <f>D13*H13</f>
        <v>102</v>
      </c>
      <c r="J13" s="132"/>
    </row>
    <row r="14" spans="1:12" s="107" customFormat="1">
      <c r="A14" s="126"/>
      <c r="B14" s="127" t="s">
        <v>91</v>
      </c>
      <c r="C14" s="128" t="s">
        <v>29</v>
      </c>
      <c r="D14" s="129">
        <v>1</v>
      </c>
      <c r="E14" s="128" t="s">
        <v>13</v>
      </c>
      <c r="F14" s="182">
        <v>840</v>
      </c>
      <c r="G14" s="130">
        <f t="shared" si="0"/>
        <v>840</v>
      </c>
      <c r="H14" s="183">
        <v>280</v>
      </c>
      <c r="I14" s="105">
        <f t="shared" si="1"/>
        <v>280</v>
      </c>
      <c r="J14" s="132"/>
    </row>
    <row r="15" spans="1:12" s="107" customFormat="1">
      <c r="A15" s="126"/>
      <c r="B15" s="127" t="s">
        <v>23</v>
      </c>
      <c r="C15" s="128" t="s">
        <v>24</v>
      </c>
      <c r="D15" s="129">
        <v>1</v>
      </c>
      <c r="E15" s="128" t="s">
        <v>15</v>
      </c>
      <c r="F15" s="129">
        <v>85</v>
      </c>
      <c r="G15" s="130">
        <f t="shared" si="0"/>
        <v>85</v>
      </c>
      <c r="H15" s="183">
        <v>0</v>
      </c>
      <c r="I15" s="105">
        <f t="shared" si="1"/>
        <v>0</v>
      </c>
      <c r="J15" s="132"/>
    </row>
    <row r="16" spans="1:12" s="107" customFormat="1">
      <c r="A16" s="126"/>
      <c r="B16" s="127" t="s">
        <v>16</v>
      </c>
      <c r="C16" s="128">
        <v>20</v>
      </c>
      <c r="D16" s="129">
        <v>2</v>
      </c>
      <c r="E16" s="128" t="s">
        <v>15</v>
      </c>
      <c r="F16" s="129">
        <v>74</v>
      </c>
      <c r="G16" s="135">
        <f t="shared" si="0"/>
        <v>148</v>
      </c>
      <c r="H16" s="183">
        <v>0</v>
      </c>
      <c r="I16" s="105">
        <f t="shared" si="1"/>
        <v>0</v>
      </c>
      <c r="J16" s="132"/>
    </row>
    <row r="17" spans="1:10" s="107" customFormat="1">
      <c r="A17" s="126"/>
      <c r="B17" s="127" t="s">
        <v>14</v>
      </c>
      <c r="C17" s="128" t="s">
        <v>20</v>
      </c>
      <c r="D17" s="129">
        <v>2</v>
      </c>
      <c r="E17" s="128" t="s">
        <v>15</v>
      </c>
      <c r="F17" s="129">
        <v>189</v>
      </c>
      <c r="G17" s="135">
        <f t="shared" si="0"/>
        <v>378</v>
      </c>
      <c r="H17" s="183">
        <v>0</v>
      </c>
      <c r="I17" s="105">
        <f t="shared" si="1"/>
        <v>0</v>
      </c>
      <c r="J17" s="132"/>
    </row>
    <row r="18" spans="1:10" s="107" customFormat="1">
      <c r="A18" s="126"/>
      <c r="B18" s="127" t="s">
        <v>19</v>
      </c>
      <c r="C18" s="128" t="s">
        <v>6</v>
      </c>
      <c r="D18" s="129">
        <v>1</v>
      </c>
      <c r="E18" s="128" t="s">
        <v>15</v>
      </c>
      <c r="F18" s="129">
        <v>68</v>
      </c>
      <c r="G18" s="130">
        <f t="shared" si="0"/>
        <v>68</v>
      </c>
      <c r="H18" s="184">
        <v>0</v>
      </c>
      <c r="I18" s="105">
        <f t="shared" si="1"/>
        <v>0</v>
      </c>
      <c r="J18" s="132"/>
    </row>
    <row r="19" spans="1:10" s="107" customFormat="1">
      <c r="A19" s="126"/>
      <c r="B19" s="127" t="s">
        <v>35</v>
      </c>
      <c r="C19" s="128" t="s">
        <v>20</v>
      </c>
      <c r="D19" s="129">
        <v>1</v>
      </c>
      <c r="E19" s="128" t="s">
        <v>15</v>
      </c>
      <c r="F19" s="129">
        <v>81</v>
      </c>
      <c r="G19" s="130">
        <f t="shared" si="0"/>
        <v>81</v>
      </c>
      <c r="H19" s="183">
        <v>0</v>
      </c>
      <c r="I19" s="105">
        <f t="shared" si="1"/>
        <v>0</v>
      </c>
      <c r="J19" s="132"/>
    </row>
    <row r="20" spans="1:10" s="107" customFormat="1">
      <c r="A20" s="126"/>
      <c r="B20" s="127" t="s">
        <v>17</v>
      </c>
      <c r="C20" s="128"/>
      <c r="D20" s="129">
        <v>1</v>
      </c>
      <c r="E20" s="128" t="s">
        <v>18</v>
      </c>
      <c r="F20" s="129">
        <v>12</v>
      </c>
      <c r="G20" s="130">
        <f>F20*D20</f>
        <v>12</v>
      </c>
      <c r="H20" s="183">
        <v>0</v>
      </c>
      <c r="I20" s="105">
        <f t="shared" si="1"/>
        <v>0</v>
      </c>
      <c r="J20" s="132"/>
    </row>
    <row r="21" spans="1:10" s="107" customFormat="1">
      <c r="A21" s="126"/>
      <c r="B21" s="127" t="s">
        <v>36</v>
      </c>
      <c r="C21" s="128"/>
      <c r="D21" s="129">
        <v>1</v>
      </c>
      <c r="E21" s="128" t="s">
        <v>13</v>
      </c>
      <c r="F21" s="129">
        <v>3</v>
      </c>
      <c r="G21" s="130">
        <f>F21*D21</f>
        <v>3</v>
      </c>
      <c r="H21" s="183">
        <v>0</v>
      </c>
      <c r="I21" s="105">
        <f t="shared" si="1"/>
        <v>0</v>
      </c>
      <c r="J21" s="132"/>
    </row>
    <row r="22" spans="1:10" s="107" customFormat="1">
      <c r="A22" s="126"/>
      <c r="B22" s="127" t="s">
        <v>123</v>
      </c>
      <c r="C22" s="128"/>
      <c r="D22" s="129">
        <v>1</v>
      </c>
      <c r="E22" s="128" t="s">
        <v>37</v>
      </c>
      <c r="F22" s="129">
        <v>540</v>
      </c>
      <c r="G22" s="130">
        <f>F22*D22</f>
        <v>540</v>
      </c>
      <c r="H22" s="184">
        <v>0</v>
      </c>
      <c r="I22" s="105">
        <f t="shared" si="1"/>
        <v>0</v>
      </c>
      <c r="J22" s="132"/>
    </row>
    <row r="23" spans="1:10" s="114" customFormat="1">
      <c r="A23" s="108"/>
      <c r="B23" s="109" t="s">
        <v>50</v>
      </c>
      <c r="C23" s="109"/>
      <c r="D23" s="109"/>
      <c r="E23" s="109"/>
      <c r="F23" s="110"/>
      <c r="G23" s="111">
        <f>SUM(G12:G22)</f>
        <v>3393</v>
      </c>
      <c r="H23" s="185"/>
      <c r="I23" s="133"/>
      <c r="J23" s="113"/>
    </row>
    <row r="24" spans="1:10" s="114" customFormat="1">
      <c r="A24" s="115"/>
      <c r="B24" s="116" t="s">
        <v>51</v>
      </c>
      <c r="C24" s="116"/>
      <c r="D24" s="116"/>
      <c r="E24" s="116"/>
      <c r="F24" s="117"/>
      <c r="G24" s="118">
        <v>0</v>
      </c>
      <c r="H24" s="119"/>
      <c r="I24" s="136"/>
      <c r="J24" s="120"/>
    </row>
    <row r="25" spans="1:10" s="114" customFormat="1">
      <c r="A25" s="121"/>
      <c r="B25" s="122" t="s">
        <v>54</v>
      </c>
      <c r="C25" s="275"/>
      <c r="D25" s="276"/>
      <c r="E25" s="276"/>
      <c r="F25" s="277"/>
      <c r="G25" s="123">
        <f>SUM(G23:G24)</f>
        <v>3393</v>
      </c>
      <c r="H25" s="124"/>
      <c r="I25" s="123">
        <f>SUM(I12:I24)</f>
        <v>446</v>
      </c>
      <c r="J25" s="125"/>
    </row>
    <row r="26" spans="1:10" s="107" customFormat="1">
      <c r="A26" s="282" t="s">
        <v>55</v>
      </c>
      <c r="B26" s="283"/>
      <c r="C26" s="283"/>
      <c r="D26" s="283"/>
      <c r="E26" s="283"/>
      <c r="F26" s="283"/>
      <c r="G26" s="283"/>
      <c r="H26" s="283"/>
      <c r="I26" s="283"/>
      <c r="J26" s="284"/>
    </row>
    <row r="27" spans="1:10" s="107" customFormat="1">
      <c r="A27" s="137"/>
      <c r="B27" s="138"/>
      <c r="C27" s="313" t="s">
        <v>53</v>
      </c>
      <c r="D27" s="314"/>
      <c r="E27" s="314"/>
      <c r="F27" s="314"/>
      <c r="G27" s="314"/>
      <c r="H27" s="314"/>
      <c r="I27" s="315"/>
      <c r="J27" s="139"/>
    </row>
    <row r="28" spans="1:10" s="114" customFormat="1">
      <c r="A28" s="108"/>
      <c r="B28" s="109" t="s">
        <v>50</v>
      </c>
      <c r="C28" s="109"/>
      <c r="D28" s="109"/>
      <c r="E28" s="109"/>
      <c r="F28" s="110"/>
      <c r="G28" s="140">
        <f>SUM(G27:G27)</f>
        <v>0</v>
      </c>
      <c r="H28" s="112"/>
      <c r="I28" s="112"/>
      <c r="J28" s="113"/>
    </row>
    <row r="29" spans="1:10" s="114" customFormat="1">
      <c r="A29" s="115"/>
      <c r="B29" s="116" t="s">
        <v>51</v>
      </c>
      <c r="C29" s="116"/>
      <c r="D29" s="116"/>
      <c r="E29" s="116"/>
      <c r="F29" s="117"/>
      <c r="G29" s="118">
        <f>G28*10%</f>
        <v>0</v>
      </c>
      <c r="H29" s="119"/>
      <c r="I29" s="119"/>
      <c r="J29" s="120"/>
    </row>
    <row r="30" spans="1:10" s="114" customFormat="1">
      <c r="A30" s="141"/>
      <c r="B30" s="122" t="s">
        <v>56</v>
      </c>
      <c r="C30" s="275"/>
      <c r="D30" s="276"/>
      <c r="E30" s="276"/>
      <c r="F30" s="277"/>
      <c r="G30" s="123">
        <f>SUM(G28:G29)</f>
        <v>0</v>
      </c>
      <c r="H30" s="124"/>
      <c r="I30" s="142">
        <f>SUM(I27:I29)</f>
        <v>0</v>
      </c>
      <c r="J30" s="143">
        <f>I30+G30</f>
        <v>0</v>
      </c>
    </row>
    <row r="31" spans="1:10" s="107" customFormat="1">
      <c r="A31" s="282" t="s">
        <v>57</v>
      </c>
      <c r="B31" s="283"/>
      <c r="C31" s="283"/>
      <c r="D31" s="283"/>
      <c r="E31" s="283"/>
      <c r="F31" s="283"/>
      <c r="G31" s="283"/>
      <c r="H31" s="283"/>
      <c r="I31" s="283"/>
      <c r="J31" s="284"/>
    </row>
    <row r="32" spans="1:10" s="107" customFormat="1">
      <c r="A32" s="137"/>
      <c r="B32" s="138"/>
      <c r="C32" s="313" t="s">
        <v>53</v>
      </c>
      <c r="D32" s="314"/>
      <c r="E32" s="314"/>
      <c r="F32" s="314"/>
      <c r="G32" s="314"/>
      <c r="H32" s="314"/>
      <c r="I32" s="315"/>
      <c r="J32" s="139"/>
    </row>
    <row r="33" spans="1:13" s="107" customFormat="1">
      <c r="A33" s="144"/>
      <c r="B33" s="145" t="s">
        <v>50</v>
      </c>
      <c r="C33" s="145"/>
      <c r="D33" s="145"/>
      <c r="E33" s="145"/>
      <c r="F33" s="130"/>
      <c r="G33" s="111">
        <f>SUM(G32:G32)</f>
        <v>0</v>
      </c>
      <c r="H33" s="146"/>
      <c r="I33" s="146"/>
      <c r="J33" s="147"/>
    </row>
    <row r="34" spans="1:13" s="107" customFormat="1">
      <c r="A34" s="148"/>
      <c r="B34" s="149" t="s">
        <v>51</v>
      </c>
      <c r="C34" s="149"/>
      <c r="D34" s="149"/>
      <c r="E34" s="149"/>
      <c r="F34" s="150"/>
      <c r="G34" s="151">
        <f>G33*10%</f>
        <v>0</v>
      </c>
      <c r="H34" s="152"/>
      <c r="I34" s="152"/>
      <c r="J34" s="153"/>
    </row>
    <row r="35" spans="1:13" s="107" customFormat="1">
      <c r="A35" s="154"/>
      <c r="B35" s="155" t="s">
        <v>58</v>
      </c>
      <c r="C35" s="319"/>
      <c r="D35" s="320"/>
      <c r="E35" s="320"/>
      <c r="F35" s="321"/>
      <c r="G35" s="156">
        <f>SUM(G33:G34)</f>
        <v>0</v>
      </c>
      <c r="H35" s="157"/>
      <c r="I35" s="158">
        <f>SUM(I32:I34)</f>
        <v>0</v>
      </c>
      <c r="J35" s="159">
        <f>I35+G35</f>
        <v>0</v>
      </c>
    </row>
    <row r="36" spans="1:13" s="114" customFormat="1">
      <c r="A36" s="288" t="s">
        <v>65</v>
      </c>
      <c r="B36" s="289"/>
      <c r="C36" s="290"/>
      <c r="D36" s="291"/>
      <c r="E36" s="291"/>
      <c r="F36" s="291"/>
      <c r="G36" s="291"/>
      <c r="H36" s="291"/>
      <c r="I36" s="292"/>
      <c r="J36" s="160">
        <v>3600</v>
      </c>
      <c r="K36" s="161"/>
      <c r="L36" s="172"/>
      <c r="M36" s="173"/>
    </row>
    <row r="37" spans="1:13" s="163" customFormat="1">
      <c r="A37" s="293" t="s">
        <v>59</v>
      </c>
      <c r="B37" s="294"/>
      <c r="C37" s="295"/>
      <c r="D37" s="296"/>
      <c r="E37" s="296"/>
      <c r="F37" s="296"/>
      <c r="G37" s="296"/>
      <c r="H37" s="296"/>
      <c r="I37" s="297"/>
      <c r="J37" s="162">
        <v>0</v>
      </c>
    </row>
    <row r="38" spans="1:13" s="107" customFormat="1">
      <c r="A38" s="268" t="s">
        <v>60</v>
      </c>
      <c r="B38" s="322"/>
      <c r="C38" s="164" t="s">
        <v>8</v>
      </c>
      <c r="D38" s="165" t="s">
        <v>8</v>
      </c>
      <c r="E38" s="166" t="s">
        <v>61</v>
      </c>
      <c r="F38" s="270">
        <v>0</v>
      </c>
      <c r="G38" s="271"/>
      <c r="H38" s="272">
        <v>0</v>
      </c>
      <c r="I38" s="273"/>
      <c r="J38" s="274"/>
    </row>
    <row r="39" spans="1:13" s="163" customFormat="1">
      <c r="A39" s="254" t="s">
        <v>62</v>
      </c>
      <c r="B39" s="255"/>
      <c r="C39" s="167" t="s">
        <v>6</v>
      </c>
      <c r="D39" s="168">
        <v>1</v>
      </c>
      <c r="E39" s="169" t="s">
        <v>7</v>
      </c>
      <c r="F39" s="256">
        <v>0</v>
      </c>
      <c r="G39" s="257"/>
      <c r="H39" s="257"/>
      <c r="I39" s="257"/>
      <c r="J39" s="258"/>
    </row>
    <row r="40" spans="1:13" s="163" customFormat="1" ht="24.75" thickBot="1">
      <c r="A40" s="259" t="s">
        <v>63</v>
      </c>
      <c r="B40" s="260"/>
      <c r="C40" s="261">
        <f>(J36+J37+H38+F39)</f>
        <v>3600</v>
      </c>
      <c r="D40" s="262"/>
      <c r="E40" s="262"/>
      <c r="F40" s="262"/>
      <c r="G40" s="262"/>
      <c r="H40" s="262"/>
      <c r="I40" s="262"/>
      <c r="J40" s="263"/>
      <c r="L40" s="174"/>
    </row>
    <row r="41" spans="1:13" s="163" customFormat="1" ht="24.75" thickBot="1">
      <c r="A41" s="264" t="str">
        <f>BAHTTEXT(C40)</f>
        <v>สามพันหกร้อยบาทถ้วน</v>
      </c>
      <c r="B41" s="265"/>
      <c r="C41" s="265"/>
      <c r="D41" s="265"/>
      <c r="E41" s="265"/>
      <c r="F41" s="265"/>
      <c r="G41" s="265"/>
      <c r="H41" s="265"/>
      <c r="I41" s="265"/>
      <c r="J41" s="266"/>
    </row>
    <row r="42" spans="1:13" s="163" customFormat="1">
      <c r="A42" s="186"/>
      <c r="B42" s="186"/>
      <c r="C42" s="186"/>
      <c r="D42" s="186"/>
      <c r="E42" s="186"/>
      <c r="F42" s="186"/>
      <c r="G42" s="186"/>
      <c r="H42" s="186"/>
      <c r="I42" s="186"/>
      <c r="J42" s="186"/>
    </row>
    <row r="43" spans="1:13" s="171" customFormat="1">
      <c r="A43" s="267" t="s">
        <v>64</v>
      </c>
      <c r="B43" s="267"/>
      <c r="C43" s="170"/>
      <c r="D43" s="170"/>
      <c r="E43" s="253" t="s">
        <v>85</v>
      </c>
      <c r="F43" s="253"/>
      <c r="G43" s="253"/>
      <c r="H43" s="253"/>
      <c r="I43" s="253"/>
      <c r="J43" s="253"/>
      <c r="K43" s="170"/>
    </row>
    <row r="44" spans="1:13" s="171" customFormat="1">
      <c r="A44" s="253" t="s">
        <v>114</v>
      </c>
      <c r="B44" s="253"/>
      <c r="C44" s="170"/>
      <c r="D44" s="170"/>
      <c r="E44" s="253"/>
      <c r="F44" s="253"/>
      <c r="G44" s="253"/>
      <c r="H44" s="253"/>
      <c r="I44" s="253"/>
      <c r="J44" s="253"/>
      <c r="K44" s="170"/>
    </row>
    <row r="45" spans="1:13" s="171" customFormat="1">
      <c r="A45" s="253" t="s">
        <v>115</v>
      </c>
      <c r="B45" s="253"/>
      <c r="C45" s="170"/>
      <c r="D45" s="170"/>
      <c r="E45" s="253"/>
      <c r="F45" s="253"/>
      <c r="G45" s="253"/>
      <c r="H45" s="253"/>
      <c r="I45" s="253"/>
      <c r="J45" s="253"/>
      <c r="K45" s="170"/>
    </row>
    <row r="46" spans="1:13">
      <c r="E46" s="253"/>
      <c r="F46" s="253"/>
      <c r="G46" s="253"/>
      <c r="H46" s="253"/>
      <c r="I46" s="253"/>
      <c r="J46" s="253"/>
    </row>
  </sheetData>
  <mergeCells count="42">
    <mergeCell ref="A44:B44"/>
    <mergeCell ref="E44:J44"/>
    <mergeCell ref="A45:B45"/>
    <mergeCell ref="E45:J45"/>
    <mergeCell ref="E46:J46"/>
    <mergeCell ref="A31:J31"/>
    <mergeCell ref="A43:B43"/>
    <mergeCell ref="E43:J43"/>
    <mergeCell ref="C35:F35"/>
    <mergeCell ref="A36:B36"/>
    <mergeCell ref="C36:I36"/>
    <mergeCell ref="A37:B37"/>
    <mergeCell ref="C37:I37"/>
    <mergeCell ref="A38:B38"/>
    <mergeCell ref="F38:G38"/>
    <mergeCell ref="H38:J38"/>
    <mergeCell ref="A39:B39"/>
    <mergeCell ref="F39:J39"/>
    <mergeCell ref="A40:B40"/>
    <mergeCell ref="C40:J40"/>
    <mergeCell ref="A41:J41"/>
    <mergeCell ref="C32:I32"/>
    <mergeCell ref="F4:G4"/>
    <mergeCell ref="H4:I4"/>
    <mergeCell ref="J4:J5"/>
    <mergeCell ref="A6:J6"/>
    <mergeCell ref="C10:F10"/>
    <mergeCell ref="A11:J11"/>
    <mergeCell ref="A4:A5"/>
    <mergeCell ref="B4:B5"/>
    <mergeCell ref="C4:C5"/>
    <mergeCell ref="D4:D5"/>
    <mergeCell ref="E4:E5"/>
    <mergeCell ref="C25:F25"/>
    <mergeCell ref="A26:J26"/>
    <mergeCell ref="C27:I27"/>
    <mergeCell ref="C30:F30"/>
    <mergeCell ref="A1:J1"/>
    <mergeCell ref="A2:B2"/>
    <mergeCell ref="C2:G2"/>
    <mergeCell ref="H2:J2"/>
    <mergeCell ref="A3:J3"/>
  </mergeCells>
  <conditionalFormatting sqref="F39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8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5" orientation="portrait" horizontalDpi="4294967293" r:id="rId1"/>
  <rowBreaks count="1" manualBreakCount="1">
    <brk id="45" max="9" man="1"/>
  </rowBreaks>
  <colBreaks count="1" manualBreakCount="1">
    <brk id="1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50"/>
  </sheetPr>
  <dimension ref="A1:M46"/>
  <sheetViews>
    <sheetView zoomScale="120" zoomScaleNormal="120" workbookViewId="0">
      <selection activeCell="K11" sqref="K11"/>
    </sheetView>
  </sheetViews>
  <sheetFormatPr defaultColWidth="9" defaultRowHeight="24"/>
  <cols>
    <col min="1" max="1" width="5.75" style="99" customWidth="1"/>
    <col min="2" max="2" width="45.2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2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2" s="171" customFormat="1">
      <c r="A2" s="253" t="s">
        <v>34</v>
      </c>
      <c r="B2" s="253"/>
      <c r="C2" s="253" t="s">
        <v>162</v>
      </c>
      <c r="D2" s="253"/>
      <c r="E2" s="253"/>
      <c r="F2" s="253"/>
      <c r="G2" s="253"/>
      <c r="H2" s="299" t="s">
        <v>121</v>
      </c>
      <c r="I2" s="299"/>
      <c r="J2" s="299"/>
      <c r="K2" s="96"/>
    </row>
    <row r="3" spans="1:12" s="171" customFormat="1">
      <c r="A3" s="308" t="s">
        <v>164</v>
      </c>
      <c r="B3" s="308"/>
      <c r="C3" s="308"/>
      <c r="D3" s="308"/>
      <c r="E3" s="308"/>
      <c r="F3" s="308"/>
      <c r="G3" s="308"/>
      <c r="H3" s="308"/>
      <c r="I3" s="308"/>
      <c r="J3" s="308"/>
      <c r="K3" s="170"/>
    </row>
    <row r="4" spans="1:12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2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2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2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92">
        <v>1003</v>
      </c>
      <c r="G7" s="105">
        <f>D7*F7</f>
        <v>1003</v>
      </c>
      <c r="H7" s="105">
        <v>100</v>
      </c>
      <c r="I7" s="105">
        <f>D7*H7</f>
        <v>100</v>
      </c>
      <c r="J7" s="106"/>
    </row>
    <row r="8" spans="1:12" s="114" customFormat="1">
      <c r="A8" s="108"/>
      <c r="B8" s="109" t="s">
        <v>50</v>
      </c>
      <c r="C8" s="109"/>
      <c r="D8" s="109"/>
      <c r="E8" s="109"/>
      <c r="F8" s="110"/>
      <c r="G8" s="111">
        <f>SUM(G7:G7)</f>
        <v>1003</v>
      </c>
      <c r="H8" s="112"/>
      <c r="I8" s="112"/>
      <c r="J8" s="113"/>
      <c r="L8" s="114" t="s">
        <v>76</v>
      </c>
    </row>
    <row r="9" spans="1:12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  <c r="L9" s="114" t="s">
        <v>75</v>
      </c>
    </row>
    <row r="10" spans="1:12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1003</v>
      </c>
      <c r="H10" s="124"/>
      <c r="I10" s="123">
        <f>SUM(I7:I9)</f>
        <v>100</v>
      </c>
      <c r="J10" s="125"/>
    </row>
    <row r="11" spans="1:12">
      <c r="A11" s="316" t="s">
        <v>52</v>
      </c>
      <c r="B11" s="317"/>
      <c r="C11" s="317"/>
      <c r="D11" s="317"/>
      <c r="E11" s="317"/>
      <c r="F11" s="317"/>
      <c r="G11" s="317"/>
      <c r="H11" s="317"/>
      <c r="I11" s="317"/>
      <c r="J11" s="318"/>
    </row>
    <row r="12" spans="1:12" s="107" customFormat="1">
      <c r="A12" s="175"/>
      <c r="B12" s="176" t="s">
        <v>9</v>
      </c>
      <c r="C12" s="177">
        <v>20</v>
      </c>
      <c r="D12" s="137">
        <v>2</v>
      </c>
      <c r="E12" s="177" t="s">
        <v>10</v>
      </c>
      <c r="F12" s="137">
        <v>43</v>
      </c>
      <c r="G12" s="178">
        <f t="shared" ref="G12:G18" si="0">F12*D12</f>
        <v>86</v>
      </c>
      <c r="H12" s="179">
        <v>8</v>
      </c>
      <c r="I12" s="180">
        <f t="shared" ref="I12:I21" si="1">D12*H12</f>
        <v>16</v>
      </c>
      <c r="J12" s="181"/>
    </row>
    <row r="13" spans="1:12" s="107" customFormat="1">
      <c r="A13" s="126"/>
      <c r="B13" s="127" t="s">
        <v>91</v>
      </c>
      <c r="C13" s="128" t="s">
        <v>29</v>
      </c>
      <c r="D13" s="129">
        <v>1</v>
      </c>
      <c r="E13" s="128" t="s">
        <v>13</v>
      </c>
      <c r="F13" s="182">
        <v>840</v>
      </c>
      <c r="G13" s="130">
        <f t="shared" si="0"/>
        <v>840</v>
      </c>
      <c r="H13" s="183">
        <v>280</v>
      </c>
      <c r="I13" s="105">
        <f t="shared" si="1"/>
        <v>280</v>
      </c>
      <c r="J13" s="132"/>
    </row>
    <row r="14" spans="1:12" s="107" customFormat="1">
      <c r="A14" s="126"/>
      <c r="B14" s="127" t="s">
        <v>23</v>
      </c>
      <c r="C14" s="128" t="s">
        <v>24</v>
      </c>
      <c r="D14" s="129">
        <v>1</v>
      </c>
      <c r="E14" s="128" t="s">
        <v>15</v>
      </c>
      <c r="F14" s="129">
        <v>85</v>
      </c>
      <c r="G14" s="130">
        <f t="shared" si="0"/>
        <v>85</v>
      </c>
      <c r="H14" s="183">
        <v>0</v>
      </c>
      <c r="I14" s="105">
        <f t="shared" si="1"/>
        <v>0</v>
      </c>
      <c r="J14" s="132"/>
    </row>
    <row r="15" spans="1:12" s="107" customFormat="1">
      <c r="A15" s="126"/>
      <c r="B15" s="127" t="s">
        <v>16</v>
      </c>
      <c r="C15" s="128">
        <v>20</v>
      </c>
      <c r="D15" s="129">
        <v>2</v>
      </c>
      <c r="E15" s="128" t="s">
        <v>15</v>
      </c>
      <c r="F15" s="129">
        <v>74</v>
      </c>
      <c r="G15" s="135">
        <f t="shared" si="0"/>
        <v>148</v>
      </c>
      <c r="H15" s="183">
        <v>0</v>
      </c>
      <c r="I15" s="105">
        <f t="shared" si="1"/>
        <v>0</v>
      </c>
      <c r="J15" s="132"/>
    </row>
    <row r="16" spans="1:12" s="107" customFormat="1">
      <c r="A16" s="126"/>
      <c r="B16" s="127" t="s">
        <v>14</v>
      </c>
      <c r="C16" s="128" t="s">
        <v>20</v>
      </c>
      <c r="D16" s="129">
        <v>2</v>
      </c>
      <c r="E16" s="128" t="s">
        <v>15</v>
      </c>
      <c r="F16" s="129">
        <v>189</v>
      </c>
      <c r="G16" s="135">
        <f t="shared" si="0"/>
        <v>378</v>
      </c>
      <c r="H16" s="183">
        <v>0</v>
      </c>
      <c r="I16" s="105">
        <f t="shared" si="1"/>
        <v>0</v>
      </c>
      <c r="J16" s="132"/>
    </row>
    <row r="17" spans="1:10" s="107" customFormat="1">
      <c r="A17" s="126"/>
      <c r="B17" s="127" t="s">
        <v>19</v>
      </c>
      <c r="C17" s="128" t="s">
        <v>6</v>
      </c>
      <c r="D17" s="129">
        <v>1</v>
      </c>
      <c r="E17" s="128" t="s">
        <v>15</v>
      </c>
      <c r="F17" s="129">
        <v>68</v>
      </c>
      <c r="G17" s="130">
        <f t="shared" si="0"/>
        <v>68</v>
      </c>
      <c r="H17" s="184">
        <v>0</v>
      </c>
      <c r="I17" s="105">
        <f t="shared" si="1"/>
        <v>0</v>
      </c>
      <c r="J17" s="132"/>
    </row>
    <row r="18" spans="1:10" s="107" customFormat="1">
      <c r="A18" s="126"/>
      <c r="B18" s="127" t="s">
        <v>35</v>
      </c>
      <c r="C18" s="128" t="s">
        <v>20</v>
      </c>
      <c r="D18" s="129">
        <v>1</v>
      </c>
      <c r="E18" s="128" t="s">
        <v>15</v>
      </c>
      <c r="F18" s="129">
        <v>81</v>
      </c>
      <c r="G18" s="130">
        <f t="shared" si="0"/>
        <v>81</v>
      </c>
      <c r="H18" s="183">
        <v>0</v>
      </c>
      <c r="I18" s="105">
        <f t="shared" si="1"/>
        <v>0</v>
      </c>
      <c r="J18" s="132"/>
    </row>
    <row r="19" spans="1:10" s="107" customFormat="1">
      <c r="A19" s="126"/>
      <c r="B19" s="127" t="s">
        <v>17</v>
      </c>
      <c r="C19" s="128"/>
      <c r="D19" s="129">
        <v>1</v>
      </c>
      <c r="E19" s="128" t="s">
        <v>18</v>
      </c>
      <c r="F19" s="129">
        <v>12</v>
      </c>
      <c r="G19" s="130">
        <f>F19*D19</f>
        <v>12</v>
      </c>
      <c r="H19" s="183">
        <v>0</v>
      </c>
      <c r="I19" s="105">
        <f t="shared" si="1"/>
        <v>0</v>
      </c>
      <c r="J19" s="132"/>
    </row>
    <row r="20" spans="1:10" s="107" customFormat="1">
      <c r="A20" s="126"/>
      <c r="B20" s="127" t="s">
        <v>36</v>
      </c>
      <c r="C20" s="128"/>
      <c r="D20" s="129">
        <v>1</v>
      </c>
      <c r="E20" s="128" t="s">
        <v>13</v>
      </c>
      <c r="F20" s="129">
        <v>3</v>
      </c>
      <c r="G20" s="130">
        <f>F20*D20</f>
        <v>3</v>
      </c>
      <c r="H20" s="183">
        <v>0</v>
      </c>
      <c r="I20" s="105">
        <f t="shared" si="1"/>
        <v>0</v>
      </c>
      <c r="J20" s="132"/>
    </row>
    <row r="21" spans="1:10" s="107" customFormat="1">
      <c r="A21" s="126"/>
      <c r="B21" s="127" t="s">
        <v>80</v>
      </c>
      <c r="C21" s="128"/>
      <c r="D21" s="129">
        <v>0.5</v>
      </c>
      <c r="E21" s="128" t="s">
        <v>37</v>
      </c>
      <c r="F21" s="129">
        <v>320</v>
      </c>
      <c r="G21" s="130">
        <f>F21*D21</f>
        <v>160</v>
      </c>
      <c r="H21" s="184">
        <v>0</v>
      </c>
      <c r="I21" s="105">
        <f t="shared" si="1"/>
        <v>0</v>
      </c>
      <c r="J21" s="132"/>
    </row>
    <row r="22" spans="1:10" s="114" customFormat="1">
      <c r="A22" s="108"/>
      <c r="B22" s="109" t="s">
        <v>50</v>
      </c>
      <c r="C22" s="109"/>
      <c r="D22" s="109"/>
      <c r="E22" s="109"/>
      <c r="F22" s="110"/>
      <c r="G22" s="111">
        <f>SUM(G12:G21)</f>
        <v>1861</v>
      </c>
      <c r="H22" s="185"/>
      <c r="I22" s="133"/>
      <c r="J22" s="113"/>
    </row>
    <row r="23" spans="1:10" s="114" customFormat="1">
      <c r="A23" s="115"/>
      <c r="B23" s="116" t="s">
        <v>51</v>
      </c>
      <c r="C23" s="116"/>
      <c r="D23" s="116"/>
      <c r="E23" s="116"/>
      <c r="F23" s="117"/>
      <c r="G23" s="118">
        <v>0</v>
      </c>
      <c r="H23" s="119"/>
      <c r="I23" s="136"/>
      <c r="J23" s="120"/>
    </row>
    <row r="24" spans="1:10" s="114" customFormat="1">
      <c r="A24" s="121"/>
      <c r="B24" s="122" t="s">
        <v>54</v>
      </c>
      <c r="C24" s="275"/>
      <c r="D24" s="276"/>
      <c r="E24" s="276"/>
      <c r="F24" s="277"/>
      <c r="G24" s="123">
        <f>SUM(G22:G23)</f>
        <v>1861</v>
      </c>
      <c r="H24" s="124"/>
      <c r="I24" s="123">
        <f>SUM(I12:I23)</f>
        <v>296</v>
      </c>
      <c r="J24" s="125"/>
    </row>
    <row r="25" spans="1:10" s="107" customFormat="1">
      <c r="A25" s="282" t="s">
        <v>55</v>
      </c>
      <c r="B25" s="283"/>
      <c r="C25" s="283"/>
      <c r="D25" s="283"/>
      <c r="E25" s="283"/>
      <c r="F25" s="283"/>
      <c r="G25" s="283"/>
      <c r="H25" s="283"/>
      <c r="I25" s="283"/>
      <c r="J25" s="284"/>
    </row>
    <row r="26" spans="1:10" s="107" customFormat="1">
      <c r="A26" s="137"/>
      <c r="B26" s="138"/>
      <c r="C26" s="313" t="s">
        <v>53</v>
      </c>
      <c r="D26" s="314"/>
      <c r="E26" s="314"/>
      <c r="F26" s="314"/>
      <c r="G26" s="314"/>
      <c r="H26" s="314"/>
      <c r="I26" s="315"/>
      <c r="J26" s="139"/>
    </row>
    <row r="27" spans="1:10" s="114" customFormat="1">
      <c r="A27" s="108"/>
      <c r="B27" s="109" t="s">
        <v>50</v>
      </c>
      <c r="C27" s="109"/>
      <c r="D27" s="109"/>
      <c r="E27" s="109"/>
      <c r="F27" s="110"/>
      <c r="G27" s="140">
        <f>SUM(G26:G26)</f>
        <v>0</v>
      </c>
      <c r="H27" s="112"/>
      <c r="I27" s="112"/>
      <c r="J27" s="113"/>
    </row>
    <row r="28" spans="1:10" s="114" customFormat="1">
      <c r="A28" s="115"/>
      <c r="B28" s="116" t="s">
        <v>51</v>
      </c>
      <c r="C28" s="116"/>
      <c r="D28" s="116"/>
      <c r="E28" s="116"/>
      <c r="F28" s="117"/>
      <c r="G28" s="118">
        <f>G27*10%</f>
        <v>0</v>
      </c>
      <c r="H28" s="119"/>
      <c r="I28" s="119"/>
      <c r="J28" s="120"/>
    </row>
    <row r="29" spans="1:10" s="114" customFormat="1">
      <c r="A29" s="141"/>
      <c r="B29" s="122" t="s">
        <v>56</v>
      </c>
      <c r="C29" s="275"/>
      <c r="D29" s="276"/>
      <c r="E29" s="276"/>
      <c r="F29" s="277"/>
      <c r="G29" s="123">
        <f>SUM(G27:G28)</f>
        <v>0</v>
      </c>
      <c r="H29" s="124"/>
      <c r="I29" s="142">
        <f>SUM(I26:I28)</f>
        <v>0</v>
      </c>
      <c r="J29" s="143">
        <f>I29+G29</f>
        <v>0</v>
      </c>
    </row>
    <row r="30" spans="1:10" s="107" customFormat="1">
      <c r="A30" s="282" t="s">
        <v>57</v>
      </c>
      <c r="B30" s="283"/>
      <c r="C30" s="283"/>
      <c r="D30" s="283"/>
      <c r="E30" s="283"/>
      <c r="F30" s="283"/>
      <c r="G30" s="283"/>
      <c r="H30" s="283"/>
      <c r="I30" s="283"/>
      <c r="J30" s="284"/>
    </row>
    <row r="31" spans="1:10" s="107" customFormat="1">
      <c r="A31" s="137"/>
      <c r="B31" s="138"/>
      <c r="C31" s="313" t="s">
        <v>53</v>
      </c>
      <c r="D31" s="314"/>
      <c r="E31" s="314"/>
      <c r="F31" s="314"/>
      <c r="G31" s="314"/>
      <c r="H31" s="314"/>
      <c r="I31" s="315"/>
      <c r="J31" s="139"/>
    </row>
    <row r="32" spans="1:10" s="107" customFormat="1">
      <c r="A32" s="144"/>
      <c r="B32" s="145" t="s">
        <v>50</v>
      </c>
      <c r="C32" s="145"/>
      <c r="D32" s="145"/>
      <c r="E32" s="145"/>
      <c r="F32" s="130"/>
      <c r="G32" s="111">
        <f>SUM(G31:G31)</f>
        <v>0</v>
      </c>
      <c r="H32" s="146"/>
      <c r="I32" s="146"/>
      <c r="J32" s="147"/>
    </row>
    <row r="33" spans="1:13" s="107" customFormat="1">
      <c r="A33" s="148"/>
      <c r="B33" s="149" t="s">
        <v>51</v>
      </c>
      <c r="C33" s="149"/>
      <c r="D33" s="149"/>
      <c r="E33" s="149"/>
      <c r="F33" s="150"/>
      <c r="G33" s="151">
        <f>G32*10%</f>
        <v>0</v>
      </c>
      <c r="H33" s="152"/>
      <c r="I33" s="152"/>
      <c r="J33" s="153"/>
    </row>
    <row r="34" spans="1:13" s="107" customFormat="1">
      <c r="A34" s="154"/>
      <c r="B34" s="155" t="s">
        <v>58</v>
      </c>
      <c r="C34" s="319"/>
      <c r="D34" s="320"/>
      <c r="E34" s="320"/>
      <c r="F34" s="321"/>
      <c r="G34" s="156">
        <f>SUM(G32:G33)</f>
        <v>0</v>
      </c>
      <c r="H34" s="157"/>
      <c r="I34" s="158">
        <f>SUM(I31:I33)</f>
        <v>0</v>
      </c>
      <c r="J34" s="159">
        <f>I34+G34</f>
        <v>0</v>
      </c>
    </row>
    <row r="35" spans="1:13" s="114" customFormat="1">
      <c r="A35" s="323" t="s">
        <v>65</v>
      </c>
      <c r="B35" s="324"/>
      <c r="C35" s="290"/>
      <c r="D35" s="291"/>
      <c r="E35" s="291"/>
      <c r="F35" s="291"/>
      <c r="G35" s="291"/>
      <c r="H35" s="291"/>
      <c r="I35" s="292"/>
      <c r="J35" s="160">
        <v>3600</v>
      </c>
      <c r="K35" s="161"/>
      <c r="L35" s="172"/>
      <c r="M35" s="173"/>
    </row>
    <row r="36" spans="1:13" s="163" customFormat="1">
      <c r="A36" s="293" t="s">
        <v>59</v>
      </c>
      <c r="B36" s="294"/>
      <c r="C36" s="295"/>
      <c r="D36" s="296"/>
      <c r="E36" s="296"/>
      <c r="F36" s="296"/>
      <c r="G36" s="296"/>
      <c r="H36" s="296"/>
      <c r="I36" s="297"/>
      <c r="J36" s="162">
        <v>0</v>
      </c>
    </row>
    <row r="37" spans="1:13" s="107" customFormat="1">
      <c r="A37" s="268" t="s">
        <v>60</v>
      </c>
      <c r="B37" s="322"/>
      <c r="C37" s="164" t="s">
        <v>8</v>
      </c>
      <c r="D37" s="165" t="s">
        <v>8</v>
      </c>
      <c r="E37" s="166" t="s">
        <v>61</v>
      </c>
      <c r="F37" s="270">
        <v>0</v>
      </c>
      <c r="G37" s="271"/>
      <c r="H37" s="272">
        <v>0</v>
      </c>
      <c r="I37" s="273"/>
      <c r="J37" s="274"/>
    </row>
    <row r="38" spans="1:13" s="163" customFormat="1">
      <c r="A38" s="254" t="s">
        <v>62</v>
      </c>
      <c r="B38" s="255"/>
      <c r="C38" s="167" t="s">
        <v>6</v>
      </c>
      <c r="D38" s="168">
        <v>1</v>
      </c>
      <c r="E38" s="169" t="s">
        <v>7</v>
      </c>
      <c r="F38" s="256">
        <v>0</v>
      </c>
      <c r="G38" s="257"/>
      <c r="H38" s="257"/>
      <c r="I38" s="257"/>
      <c r="J38" s="258"/>
    </row>
    <row r="39" spans="1:13" s="163" customFormat="1" ht="24.75" thickBot="1">
      <c r="A39" s="259" t="s">
        <v>63</v>
      </c>
      <c r="B39" s="260"/>
      <c r="C39" s="261">
        <f>(J35+J36+H37+F38)</f>
        <v>3600</v>
      </c>
      <c r="D39" s="262"/>
      <c r="E39" s="262"/>
      <c r="F39" s="262"/>
      <c r="G39" s="262"/>
      <c r="H39" s="262"/>
      <c r="I39" s="262"/>
      <c r="J39" s="263"/>
      <c r="L39" s="174"/>
    </row>
    <row r="40" spans="1:13" s="163" customFormat="1" ht="24.75" thickBot="1">
      <c r="A40" s="264" t="str">
        <f>BAHTTEXT(C39)</f>
        <v>สามพันหกร้อยบาทถ้วน</v>
      </c>
      <c r="B40" s="265"/>
      <c r="C40" s="265"/>
      <c r="D40" s="265"/>
      <c r="E40" s="265"/>
      <c r="F40" s="265"/>
      <c r="G40" s="265"/>
      <c r="H40" s="265"/>
      <c r="I40" s="265"/>
      <c r="J40" s="266"/>
    </row>
    <row r="41" spans="1:13" s="163" customFormat="1">
      <c r="A41" s="186"/>
      <c r="B41" s="186"/>
      <c r="C41" s="186"/>
      <c r="D41" s="186"/>
      <c r="E41" s="186"/>
      <c r="F41" s="186"/>
      <c r="G41" s="186"/>
      <c r="H41" s="186"/>
      <c r="I41" s="186"/>
      <c r="J41" s="186"/>
    </row>
    <row r="42" spans="1:13" s="163" customFormat="1">
      <c r="A42" s="186"/>
      <c r="B42" s="186"/>
      <c r="C42" s="186"/>
      <c r="D42" s="186"/>
      <c r="E42" s="186"/>
      <c r="F42" s="186"/>
      <c r="G42" s="186"/>
      <c r="H42" s="186"/>
      <c r="I42" s="186"/>
      <c r="J42" s="186"/>
    </row>
    <row r="43" spans="1:13" s="171" customFormat="1">
      <c r="A43" s="267" t="s">
        <v>64</v>
      </c>
      <c r="B43" s="267"/>
      <c r="C43" s="170"/>
      <c r="D43" s="170"/>
      <c r="E43" s="253" t="s">
        <v>85</v>
      </c>
      <c r="F43" s="253"/>
      <c r="G43" s="253"/>
      <c r="H43" s="253"/>
      <c r="I43" s="253"/>
      <c r="J43" s="253"/>
      <c r="K43" s="170"/>
    </row>
    <row r="44" spans="1:13" s="171" customFormat="1">
      <c r="A44" s="253" t="s">
        <v>114</v>
      </c>
      <c r="B44" s="253"/>
      <c r="C44" s="170"/>
      <c r="D44" s="170"/>
      <c r="E44" s="253" t="s">
        <v>155</v>
      </c>
      <c r="F44" s="253"/>
      <c r="G44" s="253"/>
      <c r="H44" s="253"/>
      <c r="I44" s="253"/>
      <c r="J44" s="253"/>
      <c r="K44" s="170"/>
    </row>
    <row r="45" spans="1:13" s="171" customFormat="1">
      <c r="A45" s="253" t="s">
        <v>152</v>
      </c>
      <c r="B45" s="253"/>
      <c r="C45" s="170"/>
      <c r="D45" s="170"/>
      <c r="E45" s="253" t="s">
        <v>148</v>
      </c>
      <c r="F45" s="253"/>
      <c r="G45" s="253"/>
      <c r="H45" s="253"/>
      <c r="I45" s="253"/>
      <c r="J45" s="253"/>
      <c r="K45" s="170"/>
    </row>
    <row r="46" spans="1:13">
      <c r="E46" s="253"/>
      <c r="F46" s="253"/>
      <c r="G46" s="253"/>
      <c r="H46" s="253"/>
      <c r="I46" s="253"/>
      <c r="J46" s="253"/>
    </row>
  </sheetData>
  <mergeCells count="42">
    <mergeCell ref="A44:B44"/>
    <mergeCell ref="E44:J44"/>
    <mergeCell ref="E45:J45"/>
    <mergeCell ref="A38:B38"/>
    <mergeCell ref="F38:J38"/>
    <mergeCell ref="A39:B39"/>
    <mergeCell ref="C39:J39"/>
    <mergeCell ref="A40:J40"/>
    <mergeCell ref="A43:B43"/>
    <mergeCell ref="E43:J43"/>
    <mergeCell ref="E46:J46"/>
    <mergeCell ref="A37:B37"/>
    <mergeCell ref="F37:G37"/>
    <mergeCell ref="H37:J37"/>
    <mergeCell ref="C24:F24"/>
    <mergeCell ref="A25:J25"/>
    <mergeCell ref="C26:I26"/>
    <mergeCell ref="C29:F29"/>
    <mergeCell ref="A30:J30"/>
    <mergeCell ref="C31:I31"/>
    <mergeCell ref="C34:F34"/>
    <mergeCell ref="A35:B35"/>
    <mergeCell ref="C35:I35"/>
    <mergeCell ref="A36:B36"/>
    <mergeCell ref="C36:I36"/>
    <mergeCell ref="A45:B45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</mergeCells>
  <conditionalFormatting sqref="F38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7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5" orientation="portrait" horizontalDpi="4294967293" r:id="rId1"/>
  <colBreaks count="1" manualBreakCount="1">
    <brk id="1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M46"/>
  <sheetViews>
    <sheetView view="pageBreakPreview" zoomScale="120" zoomScaleNormal="100" zoomScaleSheetLayoutView="120" workbookViewId="0">
      <selection activeCell="A45" sqref="A45:B45"/>
    </sheetView>
  </sheetViews>
  <sheetFormatPr defaultColWidth="9" defaultRowHeight="21"/>
  <cols>
    <col min="1" max="1" width="5.75" style="14" customWidth="1"/>
    <col min="2" max="2" width="44.625" style="14" customWidth="1"/>
    <col min="3" max="3" width="8.625" style="14" customWidth="1"/>
    <col min="4" max="6" width="7.625" style="14" customWidth="1"/>
    <col min="7" max="7" width="8.625" style="14" customWidth="1"/>
    <col min="8" max="8" width="7.625" style="14" customWidth="1"/>
    <col min="9" max="9" width="8.625" style="14" customWidth="1"/>
    <col min="10" max="10" width="9.625" style="14" customWidth="1"/>
    <col min="11" max="16384" width="9" style="14"/>
  </cols>
  <sheetData>
    <row r="1" spans="1:11" s="1" customFormat="1" ht="23.25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10"/>
    </row>
    <row r="2" spans="1:11" s="1" customFormat="1">
      <c r="A2" s="198" t="s">
        <v>34</v>
      </c>
      <c r="B2" s="198"/>
      <c r="C2" s="198" t="s">
        <v>87</v>
      </c>
      <c r="D2" s="198"/>
      <c r="E2" s="198"/>
      <c r="F2" s="198"/>
      <c r="G2" s="198"/>
      <c r="H2" s="244" t="s">
        <v>66</v>
      </c>
      <c r="I2" s="244"/>
      <c r="J2" s="244"/>
      <c r="K2" s="89"/>
    </row>
    <row r="3" spans="1:11" s="1" customFormat="1">
      <c r="A3" s="311" t="s">
        <v>90</v>
      </c>
      <c r="B3" s="311"/>
      <c r="C3" s="311"/>
      <c r="D3" s="311"/>
      <c r="E3" s="311"/>
      <c r="F3" s="311"/>
      <c r="G3" s="311"/>
      <c r="H3" s="311"/>
      <c r="I3" s="311"/>
      <c r="J3" s="311"/>
      <c r="K3" s="9"/>
    </row>
    <row r="4" spans="1:11" s="12" customFormat="1">
      <c r="A4" s="246" t="s">
        <v>43</v>
      </c>
      <c r="B4" s="246" t="s">
        <v>1</v>
      </c>
      <c r="C4" s="246" t="s">
        <v>2</v>
      </c>
      <c r="D4" s="246" t="s">
        <v>3</v>
      </c>
      <c r="E4" s="246" t="s">
        <v>4</v>
      </c>
      <c r="F4" s="249" t="s">
        <v>44</v>
      </c>
      <c r="G4" s="250"/>
      <c r="H4" s="249" t="s">
        <v>45</v>
      </c>
      <c r="I4" s="250"/>
      <c r="J4" s="251" t="s">
        <v>5</v>
      </c>
    </row>
    <row r="5" spans="1:11" s="12" customFormat="1">
      <c r="A5" s="247"/>
      <c r="B5" s="247"/>
      <c r="C5" s="248"/>
      <c r="D5" s="248"/>
      <c r="E5" s="248"/>
      <c r="F5" s="13" t="s">
        <v>46</v>
      </c>
      <c r="G5" s="13" t="s">
        <v>47</v>
      </c>
      <c r="H5" s="13" t="s">
        <v>46</v>
      </c>
      <c r="I5" s="13" t="s">
        <v>47</v>
      </c>
      <c r="J5" s="252"/>
    </row>
    <row r="6" spans="1:11">
      <c r="A6" s="227" t="s">
        <v>48</v>
      </c>
      <c r="B6" s="228"/>
      <c r="C6" s="228"/>
      <c r="D6" s="228"/>
      <c r="E6" s="228"/>
      <c r="F6" s="228"/>
      <c r="G6" s="228"/>
      <c r="H6" s="228"/>
      <c r="I6" s="228"/>
      <c r="J6" s="229"/>
    </row>
    <row r="7" spans="1:11" s="19" customFormat="1">
      <c r="A7" s="2"/>
      <c r="B7" s="3" t="s">
        <v>49</v>
      </c>
      <c r="C7" s="15" t="s">
        <v>6</v>
      </c>
      <c r="D7" s="15">
        <v>1</v>
      </c>
      <c r="E7" s="16" t="s">
        <v>7</v>
      </c>
      <c r="F7" s="4">
        <v>932</v>
      </c>
      <c r="G7" s="17">
        <f>D7*F7</f>
        <v>932</v>
      </c>
      <c r="H7" s="17">
        <v>100</v>
      </c>
      <c r="I7" s="17">
        <f>D7*H7</f>
        <v>100</v>
      </c>
      <c r="J7" s="18"/>
    </row>
    <row r="8" spans="1:11" s="26" customFormat="1">
      <c r="A8" s="20"/>
      <c r="B8" s="21" t="s">
        <v>50</v>
      </c>
      <c r="C8" s="21"/>
      <c r="D8" s="21"/>
      <c r="E8" s="21"/>
      <c r="F8" s="22"/>
      <c r="G8" s="23">
        <f>SUM(G7:G7)</f>
        <v>932</v>
      </c>
      <c r="H8" s="24"/>
      <c r="I8" s="24"/>
      <c r="J8" s="25"/>
    </row>
    <row r="9" spans="1:11" s="26" customFormat="1">
      <c r="A9" s="27"/>
      <c r="B9" s="28" t="s">
        <v>51</v>
      </c>
      <c r="C9" s="28"/>
      <c r="D9" s="28"/>
      <c r="E9" s="28"/>
      <c r="F9" s="29"/>
      <c r="G9" s="30">
        <v>0</v>
      </c>
      <c r="H9" s="31"/>
      <c r="I9" s="31"/>
      <c r="J9" s="32"/>
    </row>
    <row r="10" spans="1:11" s="26" customFormat="1">
      <c r="A10" s="33"/>
      <c r="B10" s="34" t="s">
        <v>21</v>
      </c>
      <c r="C10" s="213"/>
      <c r="D10" s="214"/>
      <c r="E10" s="214"/>
      <c r="F10" s="215"/>
      <c r="G10" s="35">
        <f>SUM(G8:G9)</f>
        <v>932</v>
      </c>
      <c r="H10" s="36"/>
      <c r="I10" s="35">
        <f>SUM(I7:I9)</f>
        <v>100</v>
      </c>
      <c r="J10" s="37"/>
    </row>
    <row r="11" spans="1:11">
      <c r="A11" s="332" t="s">
        <v>52</v>
      </c>
      <c r="B11" s="333"/>
      <c r="C11" s="333"/>
      <c r="D11" s="333"/>
      <c r="E11" s="333"/>
      <c r="F11" s="333"/>
      <c r="G11" s="333"/>
      <c r="H11" s="333"/>
      <c r="I11" s="333"/>
      <c r="J11" s="334"/>
    </row>
    <row r="12" spans="1:11" s="19" customFormat="1">
      <c r="A12" s="83"/>
      <c r="B12" s="84" t="s">
        <v>9</v>
      </c>
      <c r="C12" s="85">
        <v>20</v>
      </c>
      <c r="D12" s="38">
        <v>7</v>
      </c>
      <c r="E12" s="85" t="s">
        <v>10</v>
      </c>
      <c r="F12" s="38">
        <v>39</v>
      </c>
      <c r="G12" s="86">
        <f>F12*D12</f>
        <v>273</v>
      </c>
      <c r="H12" s="90">
        <v>8</v>
      </c>
      <c r="I12" s="93">
        <f>D12*H12</f>
        <v>56</v>
      </c>
      <c r="J12" s="88"/>
    </row>
    <row r="13" spans="1:11" s="19" customFormat="1">
      <c r="A13" s="83"/>
      <c r="B13" s="84" t="s">
        <v>88</v>
      </c>
      <c r="C13" s="15" t="s">
        <v>71</v>
      </c>
      <c r="D13" s="38">
        <v>6</v>
      </c>
      <c r="E13" s="85" t="s">
        <v>10</v>
      </c>
      <c r="F13" s="38">
        <v>185</v>
      </c>
      <c r="G13" s="86">
        <f t="shared" ref="G13:G19" si="0">F13*D13</f>
        <v>1110</v>
      </c>
      <c r="H13" s="90">
        <v>17</v>
      </c>
      <c r="I13" s="93">
        <f t="shared" ref="I13:I22" si="1">D13*H13</f>
        <v>102</v>
      </c>
      <c r="J13" s="88"/>
    </row>
    <row r="14" spans="1:11" s="19" customFormat="1">
      <c r="A14" s="41"/>
      <c r="B14" s="5" t="s">
        <v>89</v>
      </c>
      <c r="C14" s="6" t="s">
        <v>40</v>
      </c>
      <c r="D14" s="7">
        <v>1</v>
      </c>
      <c r="E14" s="6" t="s">
        <v>13</v>
      </c>
      <c r="F14" s="8">
        <v>1120</v>
      </c>
      <c r="G14" s="42">
        <f t="shared" si="0"/>
        <v>1120</v>
      </c>
      <c r="H14" s="91">
        <v>420</v>
      </c>
      <c r="I14" s="17">
        <f t="shared" si="1"/>
        <v>420</v>
      </c>
      <c r="J14" s="43"/>
    </row>
    <row r="15" spans="1:11" s="19" customFormat="1">
      <c r="A15" s="41"/>
      <c r="B15" s="5" t="s">
        <v>23</v>
      </c>
      <c r="C15" s="6" t="s">
        <v>24</v>
      </c>
      <c r="D15" s="7">
        <v>1</v>
      </c>
      <c r="E15" s="6" t="s">
        <v>15</v>
      </c>
      <c r="F15" s="7">
        <v>81</v>
      </c>
      <c r="G15" s="42">
        <f t="shared" si="0"/>
        <v>81</v>
      </c>
      <c r="H15" s="91">
        <v>0</v>
      </c>
      <c r="I15" s="17">
        <f t="shared" si="1"/>
        <v>0</v>
      </c>
      <c r="J15" s="43"/>
    </row>
    <row r="16" spans="1:11" s="19" customFormat="1">
      <c r="A16" s="41"/>
      <c r="B16" s="5" t="s">
        <v>16</v>
      </c>
      <c r="C16" s="6">
        <v>20</v>
      </c>
      <c r="D16" s="7">
        <v>2</v>
      </c>
      <c r="E16" s="6" t="s">
        <v>15</v>
      </c>
      <c r="F16" s="7">
        <v>70</v>
      </c>
      <c r="G16" s="75">
        <f t="shared" si="0"/>
        <v>140</v>
      </c>
      <c r="H16" s="91">
        <v>0</v>
      </c>
      <c r="I16" s="17">
        <f t="shared" si="1"/>
        <v>0</v>
      </c>
      <c r="J16" s="43"/>
    </row>
    <row r="17" spans="1:10" s="19" customFormat="1">
      <c r="A17" s="41"/>
      <c r="B17" s="5" t="s">
        <v>14</v>
      </c>
      <c r="C17" s="6" t="s">
        <v>20</v>
      </c>
      <c r="D17" s="7">
        <v>2</v>
      </c>
      <c r="E17" s="6" t="s">
        <v>15</v>
      </c>
      <c r="F17" s="7">
        <v>180</v>
      </c>
      <c r="G17" s="75">
        <f t="shared" si="0"/>
        <v>360</v>
      </c>
      <c r="H17" s="91">
        <v>0</v>
      </c>
      <c r="I17" s="17">
        <f t="shared" si="1"/>
        <v>0</v>
      </c>
      <c r="J17" s="43"/>
    </row>
    <row r="18" spans="1:10" s="19" customFormat="1">
      <c r="A18" s="41"/>
      <c r="B18" s="5" t="s">
        <v>19</v>
      </c>
      <c r="C18" s="6" t="s">
        <v>6</v>
      </c>
      <c r="D18" s="7">
        <v>1</v>
      </c>
      <c r="E18" s="6" t="s">
        <v>15</v>
      </c>
      <c r="F18" s="7">
        <v>65</v>
      </c>
      <c r="G18" s="42">
        <f t="shared" si="0"/>
        <v>65</v>
      </c>
      <c r="H18" s="92">
        <v>0</v>
      </c>
      <c r="I18" s="17">
        <f t="shared" si="1"/>
        <v>0</v>
      </c>
      <c r="J18" s="43"/>
    </row>
    <row r="19" spans="1:10" s="19" customFormat="1">
      <c r="A19" s="41"/>
      <c r="B19" s="5" t="s">
        <v>35</v>
      </c>
      <c r="C19" s="6" t="s">
        <v>20</v>
      </c>
      <c r="D19" s="7">
        <v>1</v>
      </c>
      <c r="E19" s="6" t="s">
        <v>15</v>
      </c>
      <c r="F19" s="7">
        <v>77</v>
      </c>
      <c r="G19" s="42">
        <f t="shared" si="0"/>
        <v>77</v>
      </c>
      <c r="H19" s="91">
        <v>0</v>
      </c>
      <c r="I19" s="17">
        <f t="shared" si="1"/>
        <v>0</v>
      </c>
      <c r="J19" s="43"/>
    </row>
    <row r="20" spans="1:10" s="19" customFormat="1">
      <c r="A20" s="41"/>
      <c r="B20" s="5" t="s">
        <v>17</v>
      </c>
      <c r="C20" s="6"/>
      <c r="D20" s="7">
        <v>1</v>
      </c>
      <c r="E20" s="6" t="s">
        <v>18</v>
      </c>
      <c r="F20" s="7">
        <v>12</v>
      </c>
      <c r="G20" s="42">
        <f>F20*D20</f>
        <v>12</v>
      </c>
      <c r="H20" s="91">
        <v>0</v>
      </c>
      <c r="I20" s="17">
        <f t="shared" si="1"/>
        <v>0</v>
      </c>
      <c r="J20" s="43"/>
    </row>
    <row r="21" spans="1:10" s="19" customFormat="1">
      <c r="A21" s="41"/>
      <c r="B21" s="5" t="s">
        <v>36</v>
      </c>
      <c r="C21" s="6"/>
      <c r="D21" s="7">
        <v>1</v>
      </c>
      <c r="E21" s="6" t="s">
        <v>13</v>
      </c>
      <c r="F21" s="7">
        <v>3</v>
      </c>
      <c r="G21" s="42">
        <f>F21*D21</f>
        <v>3</v>
      </c>
      <c r="H21" s="91">
        <v>0</v>
      </c>
      <c r="I21" s="17">
        <f t="shared" si="1"/>
        <v>0</v>
      </c>
      <c r="J21" s="43"/>
    </row>
    <row r="22" spans="1:10" s="19" customFormat="1">
      <c r="A22" s="41"/>
      <c r="B22" s="5" t="s">
        <v>77</v>
      </c>
      <c r="C22" s="6"/>
      <c r="D22" s="7">
        <v>0.75</v>
      </c>
      <c r="E22" s="6" t="s">
        <v>37</v>
      </c>
      <c r="F22" s="7">
        <v>540</v>
      </c>
      <c r="G22" s="42">
        <f>F22*D22</f>
        <v>405</v>
      </c>
      <c r="H22" s="92">
        <v>0</v>
      </c>
      <c r="I22" s="17">
        <f t="shared" si="1"/>
        <v>0</v>
      </c>
      <c r="J22" s="43"/>
    </row>
    <row r="23" spans="1:10" s="26" customFormat="1">
      <c r="A23" s="20"/>
      <c r="B23" s="21" t="s">
        <v>50</v>
      </c>
      <c r="C23" s="21"/>
      <c r="D23" s="21"/>
      <c r="E23" s="21"/>
      <c r="F23" s="22"/>
      <c r="G23" s="23">
        <f>SUM(G13:G22)</f>
        <v>3373</v>
      </c>
      <c r="H23" s="81"/>
      <c r="I23" s="79"/>
      <c r="J23" s="25"/>
    </row>
    <row r="24" spans="1:10" s="26" customFormat="1">
      <c r="A24" s="27"/>
      <c r="B24" s="28" t="s">
        <v>51</v>
      </c>
      <c r="C24" s="28"/>
      <c r="D24" s="28"/>
      <c r="E24" s="28"/>
      <c r="F24" s="29"/>
      <c r="G24" s="30">
        <v>0</v>
      </c>
      <c r="H24" s="31"/>
      <c r="I24" s="78"/>
      <c r="J24" s="32"/>
    </row>
    <row r="25" spans="1:10" s="26" customFormat="1">
      <c r="A25" s="33"/>
      <c r="B25" s="34" t="s">
        <v>54</v>
      </c>
      <c r="C25" s="213"/>
      <c r="D25" s="214"/>
      <c r="E25" s="214"/>
      <c r="F25" s="215"/>
      <c r="G25" s="35">
        <f>SUM(G23:G24)</f>
        <v>3373</v>
      </c>
      <c r="H25" s="36"/>
      <c r="I25" s="35">
        <f>SUM(I13:I24)</f>
        <v>522</v>
      </c>
      <c r="J25" s="37"/>
    </row>
    <row r="26" spans="1:10" s="19" customFormat="1">
      <c r="A26" s="227" t="s">
        <v>55</v>
      </c>
      <c r="B26" s="228"/>
      <c r="C26" s="228"/>
      <c r="D26" s="228"/>
      <c r="E26" s="228"/>
      <c r="F26" s="228"/>
      <c r="G26" s="228"/>
      <c r="H26" s="228"/>
      <c r="I26" s="228"/>
      <c r="J26" s="229"/>
    </row>
    <row r="27" spans="1:10" s="19" customFormat="1">
      <c r="A27" s="38"/>
      <c r="B27" s="39"/>
      <c r="C27" s="326" t="s">
        <v>53</v>
      </c>
      <c r="D27" s="327"/>
      <c r="E27" s="327"/>
      <c r="F27" s="327"/>
      <c r="G27" s="327"/>
      <c r="H27" s="327"/>
      <c r="I27" s="328"/>
      <c r="J27" s="40"/>
    </row>
    <row r="28" spans="1:10" s="26" customFormat="1">
      <c r="A28" s="20"/>
      <c r="B28" s="21" t="s">
        <v>50</v>
      </c>
      <c r="C28" s="21"/>
      <c r="D28" s="21"/>
      <c r="E28" s="21"/>
      <c r="F28" s="22"/>
      <c r="G28" s="44">
        <f>SUM(G27:G27)</f>
        <v>0</v>
      </c>
      <c r="H28" s="24"/>
      <c r="I28" s="24"/>
      <c r="J28" s="25"/>
    </row>
    <row r="29" spans="1:10" s="26" customFormat="1">
      <c r="A29" s="27"/>
      <c r="B29" s="28" t="s">
        <v>51</v>
      </c>
      <c r="C29" s="28"/>
      <c r="D29" s="28"/>
      <c r="E29" s="28"/>
      <c r="F29" s="29"/>
      <c r="G29" s="30">
        <f>G28*10%</f>
        <v>0</v>
      </c>
      <c r="H29" s="31"/>
      <c r="I29" s="31"/>
      <c r="J29" s="32"/>
    </row>
    <row r="30" spans="1:10" s="26" customFormat="1">
      <c r="A30" s="45"/>
      <c r="B30" s="34" t="s">
        <v>56</v>
      </c>
      <c r="C30" s="213"/>
      <c r="D30" s="214"/>
      <c r="E30" s="214"/>
      <c r="F30" s="215"/>
      <c r="G30" s="35">
        <f>SUM(G28:G29)</f>
        <v>0</v>
      </c>
      <c r="H30" s="36"/>
      <c r="I30" s="46">
        <f>SUM(I27:I29)</f>
        <v>0</v>
      </c>
      <c r="J30" s="47">
        <f>I30+G30</f>
        <v>0</v>
      </c>
    </row>
    <row r="31" spans="1:10" s="19" customFormat="1">
      <c r="A31" s="227" t="s">
        <v>57</v>
      </c>
      <c r="B31" s="228"/>
      <c r="C31" s="228"/>
      <c r="D31" s="228"/>
      <c r="E31" s="228"/>
      <c r="F31" s="228"/>
      <c r="G31" s="228"/>
      <c r="H31" s="228"/>
      <c r="I31" s="228"/>
      <c r="J31" s="229"/>
    </row>
    <row r="32" spans="1:10" s="19" customFormat="1">
      <c r="A32" s="38"/>
      <c r="B32" s="39"/>
      <c r="C32" s="326" t="s">
        <v>53</v>
      </c>
      <c r="D32" s="327"/>
      <c r="E32" s="327"/>
      <c r="F32" s="327"/>
      <c r="G32" s="327"/>
      <c r="H32" s="327"/>
      <c r="I32" s="328"/>
      <c r="J32" s="40"/>
    </row>
    <row r="33" spans="1:13" s="19" customFormat="1">
      <c r="A33" s="49"/>
      <c r="B33" s="48" t="s">
        <v>50</v>
      </c>
      <c r="C33" s="48"/>
      <c r="D33" s="48"/>
      <c r="E33" s="48"/>
      <c r="F33" s="42"/>
      <c r="G33" s="23">
        <f>SUM(G32:G32)</f>
        <v>0</v>
      </c>
      <c r="H33" s="50"/>
      <c r="I33" s="50"/>
      <c r="J33" s="51"/>
    </row>
    <row r="34" spans="1:13" s="19" customFormat="1">
      <c r="A34" s="52"/>
      <c r="B34" s="53" t="s">
        <v>51</v>
      </c>
      <c r="C34" s="53"/>
      <c r="D34" s="53"/>
      <c r="E34" s="53"/>
      <c r="F34" s="54"/>
      <c r="G34" s="55">
        <f>G33*10%</f>
        <v>0</v>
      </c>
      <c r="H34" s="56"/>
      <c r="I34" s="56"/>
      <c r="J34" s="57"/>
    </row>
    <row r="35" spans="1:13" s="19" customFormat="1">
      <c r="A35" s="58"/>
      <c r="B35" s="59" t="s">
        <v>58</v>
      </c>
      <c r="C35" s="329"/>
      <c r="D35" s="330"/>
      <c r="E35" s="330"/>
      <c r="F35" s="331"/>
      <c r="G35" s="60">
        <f>SUM(G33:G34)</f>
        <v>0</v>
      </c>
      <c r="H35" s="61"/>
      <c r="I35" s="62">
        <f>SUM(I32:I34)</f>
        <v>0</v>
      </c>
      <c r="J35" s="63">
        <f>I35+G35</f>
        <v>0</v>
      </c>
    </row>
    <row r="36" spans="1:13" s="26" customFormat="1">
      <c r="A36" s="233" t="s">
        <v>65</v>
      </c>
      <c r="B36" s="234"/>
      <c r="C36" s="235"/>
      <c r="D36" s="236"/>
      <c r="E36" s="236"/>
      <c r="F36" s="236"/>
      <c r="G36" s="236"/>
      <c r="H36" s="236"/>
      <c r="I36" s="237"/>
      <c r="J36" s="64">
        <v>3600</v>
      </c>
      <c r="K36" s="65"/>
      <c r="L36" s="66"/>
      <c r="M36" s="67"/>
    </row>
    <row r="37" spans="1:13" s="69" customFormat="1">
      <c r="A37" s="238" t="s">
        <v>59</v>
      </c>
      <c r="B37" s="239"/>
      <c r="C37" s="240"/>
      <c r="D37" s="241"/>
      <c r="E37" s="241"/>
      <c r="F37" s="241"/>
      <c r="G37" s="241"/>
      <c r="H37" s="241"/>
      <c r="I37" s="242"/>
      <c r="J37" s="68">
        <v>0</v>
      </c>
    </row>
    <row r="38" spans="1:13" s="19" customFormat="1">
      <c r="A38" s="216" t="s">
        <v>60</v>
      </c>
      <c r="B38" s="325"/>
      <c r="C38" s="76" t="s">
        <v>8</v>
      </c>
      <c r="D38" s="70" t="s">
        <v>8</v>
      </c>
      <c r="E38" s="71" t="s">
        <v>61</v>
      </c>
      <c r="F38" s="218">
        <v>0</v>
      </c>
      <c r="G38" s="219"/>
      <c r="H38" s="220">
        <v>0</v>
      </c>
      <c r="I38" s="221"/>
      <c r="J38" s="222"/>
    </row>
    <row r="39" spans="1:13" s="69" customFormat="1">
      <c r="A39" s="199" t="s">
        <v>62</v>
      </c>
      <c r="B39" s="200"/>
      <c r="C39" s="77" t="s">
        <v>6</v>
      </c>
      <c r="D39" s="72">
        <v>1</v>
      </c>
      <c r="E39" s="73" t="s">
        <v>7</v>
      </c>
      <c r="F39" s="201">
        <v>0</v>
      </c>
      <c r="G39" s="202"/>
      <c r="H39" s="202"/>
      <c r="I39" s="202"/>
      <c r="J39" s="203"/>
    </row>
    <row r="40" spans="1:13" s="69" customFormat="1" ht="21.75" thickBot="1">
      <c r="A40" s="204" t="s">
        <v>63</v>
      </c>
      <c r="B40" s="205"/>
      <c r="C40" s="206">
        <f>(J36+J37+H38+F39)</f>
        <v>3600</v>
      </c>
      <c r="D40" s="207"/>
      <c r="E40" s="207"/>
      <c r="F40" s="207"/>
      <c r="G40" s="207"/>
      <c r="H40" s="207"/>
      <c r="I40" s="207"/>
      <c r="J40" s="208"/>
      <c r="L40" s="74"/>
    </row>
    <row r="41" spans="1:13" s="69" customFormat="1" ht="21.75" thickBot="1">
      <c r="A41" s="209" t="str">
        <f>BAHTTEXT(C40)</f>
        <v>สามพันหกร้อยบาทถ้วน</v>
      </c>
      <c r="B41" s="210"/>
      <c r="C41" s="210"/>
      <c r="D41" s="210"/>
      <c r="E41" s="210"/>
      <c r="F41" s="210"/>
      <c r="G41" s="210"/>
      <c r="H41" s="210"/>
      <c r="I41" s="210"/>
      <c r="J41" s="211"/>
    </row>
    <row r="43" spans="1:13" s="1" customFormat="1">
      <c r="A43" s="212" t="s">
        <v>64</v>
      </c>
      <c r="B43" s="212"/>
      <c r="C43" s="11"/>
      <c r="D43" s="11"/>
      <c r="E43" s="198" t="s">
        <v>85</v>
      </c>
      <c r="F43" s="198"/>
      <c r="G43" s="198"/>
      <c r="H43" s="198"/>
      <c r="I43" s="198"/>
      <c r="J43" s="198"/>
      <c r="K43" s="11"/>
    </row>
    <row r="44" spans="1:13" s="1" customFormat="1">
      <c r="A44" s="198" t="s">
        <v>79</v>
      </c>
      <c r="B44" s="198"/>
      <c r="C44" s="11"/>
      <c r="D44" s="11"/>
      <c r="E44" s="198" t="s">
        <v>93</v>
      </c>
      <c r="F44" s="198"/>
      <c r="G44" s="198"/>
      <c r="H44" s="198"/>
      <c r="I44" s="198"/>
      <c r="J44" s="198"/>
      <c r="K44" s="11"/>
    </row>
    <row r="45" spans="1:13" s="1" customFormat="1">
      <c r="A45" s="198" t="s">
        <v>109</v>
      </c>
      <c r="B45" s="198"/>
      <c r="C45" s="11"/>
      <c r="D45" s="11"/>
      <c r="E45" s="198" t="s">
        <v>99</v>
      </c>
      <c r="F45" s="198"/>
      <c r="G45" s="198"/>
      <c r="H45" s="198"/>
      <c r="I45" s="198"/>
      <c r="J45" s="198"/>
      <c r="K45" s="11"/>
    </row>
    <row r="46" spans="1:13">
      <c r="E46" s="198" t="s">
        <v>100</v>
      </c>
      <c r="F46" s="198"/>
      <c r="G46" s="198"/>
      <c r="H46" s="198"/>
      <c r="I46" s="198"/>
      <c r="J46" s="198"/>
    </row>
  </sheetData>
  <mergeCells count="42">
    <mergeCell ref="E46:J46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  <mergeCell ref="A38:B38"/>
    <mergeCell ref="F38:G38"/>
    <mergeCell ref="H38:J38"/>
    <mergeCell ref="C25:F25"/>
    <mergeCell ref="A26:J26"/>
    <mergeCell ref="C27:I27"/>
    <mergeCell ref="C30:F30"/>
    <mergeCell ref="A31:J31"/>
    <mergeCell ref="C32:I32"/>
    <mergeCell ref="C35:F35"/>
    <mergeCell ref="A36:B36"/>
    <mergeCell ref="C36:I36"/>
    <mergeCell ref="A37:B37"/>
    <mergeCell ref="C37:I37"/>
    <mergeCell ref="A44:B44"/>
    <mergeCell ref="A45:B45"/>
    <mergeCell ref="A39:B39"/>
    <mergeCell ref="F39:J39"/>
    <mergeCell ref="A40:B40"/>
    <mergeCell ref="C40:J40"/>
    <mergeCell ref="A41:J41"/>
    <mergeCell ref="A43:B43"/>
    <mergeCell ref="E43:J43"/>
    <mergeCell ref="E44:J44"/>
    <mergeCell ref="E45:J45"/>
  </mergeCells>
  <conditionalFormatting sqref="F39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8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5" orientation="portrait" horizontalDpi="4294967293" r:id="rId1"/>
  <colBreaks count="1" manualBreakCount="1">
    <brk id="1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0B050"/>
  </sheetPr>
  <dimension ref="A1:M46"/>
  <sheetViews>
    <sheetView view="pageBreakPreview" topLeftCell="A7" zoomScale="140" zoomScaleNormal="100" zoomScaleSheetLayoutView="140" workbookViewId="0">
      <selection activeCell="K16" sqref="K16"/>
    </sheetView>
  </sheetViews>
  <sheetFormatPr defaultColWidth="9" defaultRowHeight="24"/>
  <cols>
    <col min="1" max="1" width="5.75" style="99" customWidth="1"/>
    <col min="2" max="2" width="44.62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1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71" customFormat="1">
      <c r="A2" s="253" t="s">
        <v>34</v>
      </c>
      <c r="B2" s="253"/>
      <c r="C2" s="253" t="s">
        <v>167</v>
      </c>
      <c r="D2" s="253"/>
      <c r="E2" s="253"/>
      <c r="F2" s="253"/>
      <c r="G2" s="253"/>
      <c r="H2" s="299" t="s">
        <v>121</v>
      </c>
      <c r="I2" s="299"/>
      <c r="J2" s="299"/>
      <c r="K2" s="96"/>
    </row>
    <row r="3" spans="1:11" s="171" customFormat="1">
      <c r="A3" s="300" t="s">
        <v>168</v>
      </c>
      <c r="B3" s="300"/>
      <c r="C3" s="300"/>
      <c r="D3" s="300"/>
      <c r="E3" s="300"/>
      <c r="F3" s="300"/>
      <c r="G3" s="300"/>
      <c r="H3" s="300"/>
      <c r="I3" s="300"/>
      <c r="J3" s="300"/>
      <c r="K3" s="95"/>
    </row>
    <row r="4" spans="1:11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1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1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1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92">
        <v>1003</v>
      </c>
      <c r="G7" s="105">
        <f>D7*F7</f>
        <v>1003</v>
      </c>
      <c r="H7" s="105">
        <v>100</v>
      </c>
      <c r="I7" s="105">
        <f>D7*H7</f>
        <v>100</v>
      </c>
      <c r="J7" s="106"/>
    </row>
    <row r="8" spans="1:11" s="114" customFormat="1">
      <c r="A8" s="108"/>
      <c r="B8" s="109" t="s">
        <v>50</v>
      </c>
      <c r="C8" s="109"/>
      <c r="D8" s="109"/>
      <c r="E8" s="109"/>
      <c r="F8" s="110"/>
      <c r="G8" s="111">
        <f>SUM(G7:G7)</f>
        <v>1003</v>
      </c>
      <c r="H8" s="112"/>
      <c r="I8" s="112"/>
      <c r="J8" s="113"/>
    </row>
    <row r="9" spans="1:11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</row>
    <row r="10" spans="1:11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1003</v>
      </c>
      <c r="H10" s="124"/>
      <c r="I10" s="123">
        <f>SUM(I7:I9)</f>
        <v>100</v>
      </c>
      <c r="J10" s="125"/>
    </row>
    <row r="11" spans="1:11">
      <c r="A11" s="316" t="s">
        <v>52</v>
      </c>
      <c r="B11" s="317"/>
      <c r="C11" s="317"/>
      <c r="D11" s="317"/>
      <c r="E11" s="317"/>
      <c r="F11" s="317"/>
      <c r="G11" s="317"/>
      <c r="H11" s="317"/>
      <c r="I11" s="317"/>
      <c r="J11" s="318"/>
    </row>
    <row r="12" spans="1:11" s="107" customFormat="1">
      <c r="A12" s="175"/>
      <c r="B12" s="176" t="s">
        <v>9</v>
      </c>
      <c r="C12" s="177">
        <v>20</v>
      </c>
      <c r="D12" s="137">
        <v>2</v>
      </c>
      <c r="E12" s="177" t="s">
        <v>10</v>
      </c>
      <c r="F12" s="137">
        <v>43</v>
      </c>
      <c r="G12" s="178">
        <f t="shared" ref="G12:G18" si="0">F12*D12</f>
        <v>86</v>
      </c>
      <c r="H12" s="131">
        <v>8</v>
      </c>
      <c r="I12" s="188">
        <f t="shared" ref="I12:I21" si="1">D12*H12</f>
        <v>16</v>
      </c>
      <c r="J12" s="181"/>
    </row>
    <row r="13" spans="1:11" s="107" customFormat="1">
      <c r="A13" s="126"/>
      <c r="B13" s="127" t="s">
        <v>98</v>
      </c>
      <c r="C13" s="128" t="s">
        <v>40</v>
      </c>
      <c r="D13" s="129">
        <v>1</v>
      </c>
      <c r="E13" s="128" t="s">
        <v>13</v>
      </c>
      <c r="F13" s="182">
        <v>1100</v>
      </c>
      <c r="G13" s="130">
        <f t="shared" si="0"/>
        <v>1100</v>
      </c>
      <c r="H13" s="183">
        <v>420</v>
      </c>
      <c r="I13" s="105">
        <f t="shared" si="1"/>
        <v>420</v>
      </c>
      <c r="J13" s="132"/>
    </row>
    <row r="14" spans="1:11" s="107" customFormat="1">
      <c r="A14" s="126"/>
      <c r="B14" s="127" t="s">
        <v>23</v>
      </c>
      <c r="C14" s="128" t="s">
        <v>24</v>
      </c>
      <c r="D14" s="129">
        <v>1</v>
      </c>
      <c r="E14" s="128" t="s">
        <v>15</v>
      </c>
      <c r="F14" s="129">
        <v>76</v>
      </c>
      <c r="G14" s="130">
        <f t="shared" si="0"/>
        <v>76</v>
      </c>
      <c r="H14" s="183">
        <v>0</v>
      </c>
      <c r="I14" s="105">
        <f t="shared" si="1"/>
        <v>0</v>
      </c>
      <c r="J14" s="132"/>
    </row>
    <row r="15" spans="1:11" s="107" customFormat="1">
      <c r="A15" s="126"/>
      <c r="B15" s="127" t="s">
        <v>16</v>
      </c>
      <c r="C15" s="128">
        <v>20</v>
      </c>
      <c r="D15" s="129">
        <v>2</v>
      </c>
      <c r="E15" s="128" t="s">
        <v>15</v>
      </c>
      <c r="F15" s="129">
        <v>74</v>
      </c>
      <c r="G15" s="135">
        <f t="shared" si="0"/>
        <v>148</v>
      </c>
      <c r="H15" s="183">
        <v>0</v>
      </c>
      <c r="I15" s="105">
        <f t="shared" si="1"/>
        <v>0</v>
      </c>
      <c r="J15" s="132"/>
    </row>
    <row r="16" spans="1:11" s="107" customFormat="1">
      <c r="A16" s="126"/>
      <c r="B16" s="127" t="s">
        <v>14</v>
      </c>
      <c r="C16" s="128" t="s">
        <v>20</v>
      </c>
      <c r="D16" s="129">
        <v>2</v>
      </c>
      <c r="E16" s="128" t="s">
        <v>15</v>
      </c>
      <c r="F16" s="129">
        <v>189</v>
      </c>
      <c r="G16" s="135">
        <f t="shared" si="0"/>
        <v>378</v>
      </c>
      <c r="H16" s="183">
        <v>0</v>
      </c>
      <c r="I16" s="105">
        <f t="shared" si="1"/>
        <v>0</v>
      </c>
      <c r="J16" s="132"/>
    </row>
    <row r="17" spans="1:10" s="107" customFormat="1">
      <c r="A17" s="126"/>
      <c r="B17" s="127" t="s">
        <v>19</v>
      </c>
      <c r="C17" s="128" t="s">
        <v>6</v>
      </c>
      <c r="D17" s="129">
        <v>1</v>
      </c>
      <c r="E17" s="128" t="s">
        <v>15</v>
      </c>
      <c r="F17" s="129">
        <v>68</v>
      </c>
      <c r="G17" s="130">
        <f t="shared" si="0"/>
        <v>68</v>
      </c>
      <c r="H17" s="184">
        <v>0</v>
      </c>
      <c r="I17" s="105">
        <f t="shared" si="1"/>
        <v>0</v>
      </c>
      <c r="J17" s="132"/>
    </row>
    <row r="18" spans="1:10" s="107" customFormat="1">
      <c r="A18" s="126"/>
      <c r="B18" s="127" t="s">
        <v>35</v>
      </c>
      <c r="C18" s="128" t="s">
        <v>20</v>
      </c>
      <c r="D18" s="129">
        <v>1</v>
      </c>
      <c r="E18" s="128" t="s">
        <v>15</v>
      </c>
      <c r="F18" s="129">
        <v>81</v>
      </c>
      <c r="G18" s="130">
        <f t="shared" si="0"/>
        <v>81</v>
      </c>
      <c r="H18" s="183">
        <v>0</v>
      </c>
      <c r="I18" s="105">
        <f t="shared" si="1"/>
        <v>0</v>
      </c>
      <c r="J18" s="132"/>
    </row>
    <row r="19" spans="1:10" s="107" customFormat="1">
      <c r="A19" s="126"/>
      <c r="B19" s="127" t="s">
        <v>17</v>
      </c>
      <c r="C19" s="128"/>
      <c r="D19" s="129">
        <v>1</v>
      </c>
      <c r="E19" s="128" t="s">
        <v>18</v>
      </c>
      <c r="F19" s="129">
        <v>12</v>
      </c>
      <c r="G19" s="130">
        <f>F19*D19</f>
        <v>12</v>
      </c>
      <c r="H19" s="183">
        <v>0</v>
      </c>
      <c r="I19" s="105">
        <f t="shared" si="1"/>
        <v>0</v>
      </c>
      <c r="J19" s="132"/>
    </row>
    <row r="20" spans="1:10" s="107" customFormat="1">
      <c r="A20" s="126"/>
      <c r="B20" s="127" t="s">
        <v>36</v>
      </c>
      <c r="C20" s="128"/>
      <c r="D20" s="129">
        <v>1</v>
      </c>
      <c r="E20" s="128" t="s">
        <v>13</v>
      </c>
      <c r="F20" s="129">
        <v>3</v>
      </c>
      <c r="G20" s="130">
        <f>F20*D20</f>
        <v>3</v>
      </c>
      <c r="H20" s="183">
        <v>0</v>
      </c>
      <c r="I20" s="105">
        <f>D20*H20</f>
        <v>0</v>
      </c>
      <c r="J20" s="132"/>
    </row>
    <row r="21" spans="1:10" s="107" customFormat="1">
      <c r="A21" s="126"/>
      <c r="B21" s="127" t="s">
        <v>139</v>
      </c>
      <c r="C21" s="128"/>
      <c r="D21" s="129">
        <v>0.25</v>
      </c>
      <c r="E21" s="128" t="s">
        <v>140</v>
      </c>
      <c r="F21" s="129">
        <v>320</v>
      </c>
      <c r="G21" s="130">
        <f>F21*D21</f>
        <v>80</v>
      </c>
      <c r="H21" s="183">
        <v>0</v>
      </c>
      <c r="I21" s="105">
        <f t="shared" si="1"/>
        <v>0</v>
      </c>
      <c r="J21" s="132"/>
    </row>
    <row r="22" spans="1:10" s="114" customFormat="1">
      <c r="A22" s="108"/>
      <c r="B22" s="109" t="s">
        <v>50</v>
      </c>
      <c r="C22" s="109"/>
      <c r="D22" s="109"/>
      <c r="E22" s="109"/>
      <c r="F22" s="110"/>
      <c r="G22" s="111">
        <f>SUM(G12:G21)</f>
        <v>2032</v>
      </c>
      <c r="H22" s="112"/>
      <c r="I22" s="133"/>
      <c r="J22" s="113"/>
    </row>
    <row r="23" spans="1:10" s="114" customFormat="1">
      <c r="A23" s="115"/>
      <c r="B23" s="116" t="s">
        <v>51</v>
      </c>
      <c r="C23" s="116"/>
      <c r="D23" s="116"/>
      <c r="E23" s="116"/>
      <c r="F23" s="117"/>
      <c r="G23" s="118">
        <v>0</v>
      </c>
      <c r="H23" s="119"/>
      <c r="I23" s="136"/>
      <c r="J23" s="120"/>
    </row>
    <row r="24" spans="1:10" s="114" customFormat="1">
      <c r="A24" s="121"/>
      <c r="B24" s="122" t="s">
        <v>54</v>
      </c>
      <c r="C24" s="275"/>
      <c r="D24" s="276"/>
      <c r="E24" s="276"/>
      <c r="F24" s="277"/>
      <c r="G24" s="123">
        <f>SUM(G22:G23)</f>
        <v>2032</v>
      </c>
      <c r="H24" s="124"/>
      <c r="I24" s="123">
        <f>SUM(I12:I23)</f>
        <v>436</v>
      </c>
      <c r="J24" s="125"/>
    </row>
    <row r="25" spans="1:10" s="107" customFormat="1">
      <c r="A25" s="282" t="s">
        <v>55</v>
      </c>
      <c r="B25" s="283"/>
      <c r="C25" s="283"/>
      <c r="D25" s="283"/>
      <c r="E25" s="283"/>
      <c r="F25" s="283"/>
      <c r="G25" s="283"/>
      <c r="H25" s="283"/>
      <c r="I25" s="283"/>
      <c r="J25" s="284"/>
    </row>
    <row r="26" spans="1:10" s="107" customFormat="1">
      <c r="A26" s="137"/>
      <c r="B26" s="138"/>
      <c r="C26" s="313" t="s">
        <v>53</v>
      </c>
      <c r="D26" s="314"/>
      <c r="E26" s="314"/>
      <c r="F26" s="314"/>
      <c r="G26" s="314"/>
      <c r="H26" s="314"/>
      <c r="I26" s="315"/>
      <c r="J26" s="139"/>
    </row>
    <row r="27" spans="1:10" s="114" customFormat="1">
      <c r="A27" s="108"/>
      <c r="B27" s="109" t="s">
        <v>50</v>
      </c>
      <c r="C27" s="109"/>
      <c r="D27" s="109"/>
      <c r="E27" s="109"/>
      <c r="F27" s="110"/>
      <c r="G27" s="140">
        <f>SUM(G26:G26)</f>
        <v>0</v>
      </c>
      <c r="H27" s="112"/>
      <c r="I27" s="112"/>
      <c r="J27" s="113"/>
    </row>
    <row r="28" spans="1:10" s="114" customFormat="1">
      <c r="A28" s="115"/>
      <c r="B28" s="116" t="s">
        <v>51</v>
      </c>
      <c r="C28" s="116"/>
      <c r="D28" s="116"/>
      <c r="E28" s="116"/>
      <c r="F28" s="117"/>
      <c r="G28" s="118">
        <f>G27*10%</f>
        <v>0</v>
      </c>
      <c r="H28" s="119"/>
      <c r="I28" s="119"/>
      <c r="J28" s="120"/>
    </row>
    <row r="29" spans="1:10" s="114" customFormat="1">
      <c r="A29" s="141"/>
      <c r="B29" s="122" t="s">
        <v>56</v>
      </c>
      <c r="C29" s="275"/>
      <c r="D29" s="276"/>
      <c r="E29" s="276"/>
      <c r="F29" s="277"/>
      <c r="G29" s="123">
        <f>SUM(G27:G28)</f>
        <v>0</v>
      </c>
      <c r="H29" s="124"/>
      <c r="I29" s="142">
        <f>SUM(I26:I28)</f>
        <v>0</v>
      </c>
      <c r="J29" s="143">
        <f>I29+G29</f>
        <v>0</v>
      </c>
    </row>
    <row r="30" spans="1:10" s="107" customFormat="1">
      <c r="A30" s="282" t="s">
        <v>57</v>
      </c>
      <c r="B30" s="283"/>
      <c r="C30" s="283"/>
      <c r="D30" s="283"/>
      <c r="E30" s="283"/>
      <c r="F30" s="283"/>
      <c r="G30" s="283"/>
      <c r="H30" s="283"/>
      <c r="I30" s="283"/>
      <c r="J30" s="284"/>
    </row>
    <row r="31" spans="1:10" s="107" customFormat="1">
      <c r="A31" s="137"/>
      <c r="B31" s="138"/>
      <c r="C31" s="313" t="s">
        <v>53</v>
      </c>
      <c r="D31" s="314"/>
      <c r="E31" s="314"/>
      <c r="F31" s="314"/>
      <c r="G31" s="314"/>
      <c r="H31" s="314"/>
      <c r="I31" s="315"/>
      <c r="J31" s="139"/>
    </row>
    <row r="32" spans="1:10" s="107" customFormat="1">
      <c r="A32" s="144"/>
      <c r="B32" s="145" t="s">
        <v>50</v>
      </c>
      <c r="C32" s="145"/>
      <c r="D32" s="145"/>
      <c r="E32" s="145"/>
      <c r="F32" s="130"/>
      <c r="G32" s="111">
        <f>SUM(G31:G31)</f>
        <v>0</v>
      </c>
      <c r="H32" s="146"/>
      <c r="I32" s="146"/>
      <c r="J32" s="147"/>
    </row>
    <row r="33" spans="1:13" s="107" customFormat="1">
      <c r="A33" s="148"/>
      <c r="B33" s="149" t="s">
        <v>51</v>
      </c>
      <c r="C33" s="149"/>
      <c r="D33" s="149"/>
      <c r="E33" s="149"/>
      <c r="F33" s="150"/>
      <c r="G33" s="151">
        <f>G32*10%</f>
        <v>0</v>
      </c>
      <c r="H33" s="152"/>
      <c r="I33" s="152"/>
      <c r="J33" s="153"/>
    </row>
    <row r="34" spans="1:13" s="107" customFormat="1">
      <c r="A34" s="154"/>
      <c r="B34" s="155" t="s">
        <v>58</v>
      </c>
      <c r="C34" s="319"/>
      <c r="D34" s="320"/>
      <c r="E34" s="320"/>
      <c r="F34" s="321"/>
      <c r="G34" s="156">
        <f>SUM(G32:G33)</f>
        <v>0</v>
      </c>
      <c r="H34" s="157"/>
      <c r="I34" s="158">
        <f>SUM(I31:I33)</f>
        <v>0</v>
      </c>
      <c r="J34" s="159">
        <f>I34+G34</f>
        <v>0</v>
      </c>
    </row>
    <row r="35" spans="1:13" s="114" customFormat="1">
      <c r="A35" s="288" t="s">
        <v>65</v>
      </c>
      <c r="B35" s="289"/>
      <c r="C35" s="290"/>
      <c r="D35" s="291"/>
      <c r="E35" s="291"/>
      <c r="F35" s="291"/>
      <c r="G35" s="291"/>
      <c r="H35" s="291"/>
      <c r="I35" s="292"/>
      <c r="J35" s="160">
        <v>3600</v>
      </c>
      <c r="K35" s="161"/>
      <c r="L35" s="172"/>
      <c r="M35" s="173"/>
    </row>
    <row r="36" spans="1:13" s="163" customFormat="1">
      <c r="A36" s="293" t="s">
        <v>59</v>
      </c>
      <c r="B36" s="294"/>
      <c r="C36" s="295"/>
      <c r="D36" s="296"/>
      <c r="E36" s="296"/>
      <c r="F36" s="296"/>
      <c r="G36" s="296"/>
      <c r="H36" s="296"/>
      <c r="I36" s="297"/>
      <c r="J36" s="162">
        <v>0</v>
      </c>
    </row>
    <row r="37" spans="1:13" s="107" customFormat="1">
      <c r="A37" s="268" t="s">
        <v>60</v>
      </c>
      <c r="B37" s="322"/>
      <c r="C37" s="164" t="s">
        <v>8</v>
      </c>
      <c r="D37" s="165" t="s">
        <v>8</v>
      </c>
      <c r="E37" s="166" t="s">
        <v>61</v>
      </c>
      <c r="F37" s="270">
        <v>0</v>
      </c>
      <c r="G37" s="271"/>
      <c r="H37" s="272">
        <v>0</v>
      </c>
      <c r="I37" s="273"/>
      <c r="J37" s="274"/>
    </row>
    <row r="38" spans="1:13" s="163" customFormat="1">
      <c r="A38" s="254" t="s">
        <v>62</v>
      </c>
      <c r="B38" s="255"/>
      <c r="C38" s="167" t="s">
        <v>6</v>
      </c>
      <c r="D38" s="168">
        <v>1</v>
      </c>
      <c r="E38" s="169" t="s">
        <v>7</v>
      </c>
      <c r="F38" s="256">
        <v>535</v>
      </c>
      <c r="G38" s="257"/>
      <c r="H38" s="257"/>
      <c r="I38" s="257"/>
      <c r="J38" s="258"/>
    </row>
    <row r="39" spans="1:13" s="163" customFormat="1" ht="24.75" thickBot="1">
      <c r="A39" s="259" t="s">
        <v>63</v>
      </c>
      <c r="B39" s="260"/>
      <c r="C39" s="261">
        <f>(J35+J36+H37+F38)</f>
        <v>4135</v>
      </c>
      <c r="D39" s="262"/>
      <c r="E39" s="262"/>
      <c r="F39" s="262"/>
      <c r="G39" s="262"/>
      <c r="H39" s="262"/>
      <c r="I39" s="262"/>
      <c r="J39" s="263"/>
      <c r="L39" s="174"/>
    </row>
    <row r="40" spans="1:13" s="163" customFormat="1" ht="24.75" thickBot="1">
      <c r="A40" s="264" t="str">
        <f>BAHTTEXT(C39)</f>
        <v>สี่พันหนึ่งร้อยสามสิบห้าบาทถ้วน</v>
      </c>
      <c r="B40" s="265"/>
      <c r="C40" s="265"/>
      <c r="D40" s="265"/>
      <c r="E40" s="265"/>
      <c r="F40" s="265"/>
      <c r="G40" s="265"/>
      <c r="H40" s="265"/>
      <c r="I40" s="265"/>
      <c r="J40" s="266"/>
    </row>
    <row r="43" spans="1:13" s="171" customFormat="1">
      <c r="A43" s="267" t="s">
        <v>64</v>
      </c>
      <c r="B43" s="267"/>
      <c r="C43" s="170"/>
      <c r="D43" s="170"/>
      <c r="E43" s="253" t="s">
        <v>85</v>
      </c>
      <c r="F43" s="253"/>
      <c r="G43" s="253"/>
      <c r="H43" s="253"/>
      <c r="I43" s="253"/>
      <c r="J43" s="253"/>
      <c r="K43" s="170"/>
    </row>
    <row r="44" spans="1:13" s="171" customFormat="1">
      <c r="A44" s="253" t="s">
        <v>79</v>
      </c>
      <c r="B44" s="253"/>
      <c r="C44" s="170"/>
      <c r="D44" s="170"/>
      <c r="E44" s="253" t="s">
        <v>163</v>
      </c>
      <c r="F44" s="253"/>
      <c r="G44" s="253"/>
      <c r="H44" s="253"/>
      <c r="I44" s="253"/>
      <c r="J44" s="253"/>
      <c r="K44" s="170"/>
    </row>
    <row r="45" spans="1:13" s="171" customFormat="1">
      <c r="A45" s="253" t="s">
        <v>151</v>
      </c>
      <c r="B45" s="253"/>
      <c r="C45" s="170"/>
      <c r="D45" s="170"/>
      <c r="E45" s="253" t="s">
        <v>146</v>
      </c>
      <c r="F45" s="253"/>
      <c r="G45" s="253"/>
      <c r="H45" s="253"/>
      <c r="I45" s="253"/>
      <c r="J45" s="253"/>
      <c r="K45" s="170"/>
    </row>
    <row r="46" spans="1:13">
      <c r="E46" s="253"/>
      <c r="F46" s="253"/>
      <c r="G46" s="253"/>
      <c r="H46" s="253"/>
      <c r="I46" s="253"/>
      <c r="J46" s="253"/>
    </row>
  </sheetData>
  <mergeCells count="42">
    <mergeCell ref="E46:J46"/>
    <mergeCell ref="A44:B44"/>
    <mergeCell ref="A45:B45"/>
    <mergeCell ref="A38:B38"/>
    <mergeCell ref="F38:J38"/>
    <mergeCell ref="A39:B39"/>
    <mergeCell ref="C39:J39"/>
    <mergeCell ref="A40:J40"/>
    <mergeCell ref="A43:B43"/>
    <mergeCell ref="E43:J43"/>
    <mergeCell ref="E44:J44"/>
    <mergeCell ref="E45:J45"/>
    <mergeCell ref="A37:B37"/>
    <mergeCell ref="F37:G37"/>
    <mergeCell ref="H37:J37"/>
    <mergeCell ref="C24:F24"/>
    <mergeCell ref="A25:J25"/>
    <mergeCell ref="C26:I26"/>
    <mergeCell ref="C29:F29"/>
    <mergeCell ref="A30:J30"/>
    <mergeCell ref="C31:I31"/>
    <mergeCell ref="C34:F34"/>
    <mergeCell ref="A35:B35"/>
    <mergeCell ref="C35:I35"/>
    <mergeCell ref="A36:B36"/>
    <mergeCell ref="C36:I36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</mergeCells>
  <conditionalFormatting sqref="F38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7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5" orientation="portrait" horizontalDpi="4294967293" r:id="rId1"/>
  <colBreaks count="1" manualBreakCount="1">
    <brk id="1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0B050"/>
  </sheetPr>
  <dimension ref="A1:M46"/>
  <sheetViews>
    <sheetView view="pageBreakPreview" zoomScale="130" zoomScaleNormal="100" zoomScaleSheetLayoutView="130" workbookViewId="0">
      <selection activeCell="K10" sqref="K10"/>
    </sheetView>
  </sheetViews>
  <sheetFormatPr defaultColWidth="9" defaultRowHeight="24"/>
  <cols>
    <col min="1" max="1" width="5.75" style="99" customWidth="1"/>
    <col min="2" max="2" width="44.62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1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71" customFormat="1">
      <c r="A2" s="253" t="s">
        <v>34</v>
      </c>
      <c r="B2" s="253"/>
      <c r="C2" s="253" t="s">
        <v>119</v>
      </c>
      <c r="D2" s="253"/>
      <c r="E2" s="253"/>
      <c r="F2" s="253"/>
      <c r="G2" s="253"/>
      <c r="H2" s="299" t="s">
        <v>66</v>
      </c>
      <c r="I2" s="299"/>
      <c r="J2" s="299"/>
      <c r="K2" s="96"/>
    </row>
    <row r="3" spans="1:11" s="171" customFormat="1">
      <c r="A3" s="308" t="s">
        <v>136</v>
      </c>
      <c r="B3" s="308"/>
      <c r="C3" s="308"/>
      <c r="D3" s="308"/>
      <c r="E3" s="308"/>
      <c r="F3" s="308"/>
      <c r="G3" s="308"/>
      <c r="H3" s="308"/>
      <c r="I3" s="308"/>
      <c r="J3" s="308"/>
      <c r="K3" s="95"/>
    </row>
    <row r="4" spans="1:11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1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1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1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04">
        <v>986</v>
      </c>
      <c r="G7" s="105">
        <f>D7*F7</f>
        <v>986</v>
      </c>
      <c r="H7" s="105">
        <v>100</v>
      </c>
      <c r="I7" s="105">
        <f>D7*H7</f>
        <v>100</v>
      </c>
      <c r="J7" s="106"/>
    </row>
    <row r="8" spans="1:11" s="114" customFormat="1">
      <c r="A8" s="108"/>
      <c r="B8" s="109" t="s">
        <v>50</v>
      </c>
      <c r="C8" s="109"/>
      <c r="D8" s="109"/>
      <c r="E8" s="109"/>
      <c r="F8" s="110"/>
      <c r="G8" s="111">
        <f>SUM(G7:G7)</f>
        <v>986</v>
      </c>
      <c r="H8" s="112"/>
      <c r="I8" s="112"/>
      <c r="J8" s="113"/>
    </row>
    <row r="9" spans="1:11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</row>
    <row r="10" spans="1:11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986</v>
      </c>
      <c r="H10" s="124"/>
      <c r="I10" s="123">
        <f>SUM(I7:I9)</f>
        <v>100</v>
      </c>
      <c r="J10" s="125"/>
    </row>
    <row r="11" spans="1:11">
      <c r="A11" s="316" t="s">
        <v>52</v>
      </c>
      <c r="B11" s="317"/>
      <c r="C11" s="317"/>
      <c r="D11" s="317"/>
      <c r="E11" s="317"/>
      <c r="F11" s="317"/>
      <c r="G11" s="317"/>
      <c r="H11" s="317"/>
      <c r="I11" s="317"/>
      <c r="J11" s="318"/>
    </row>
    <row r="12" spans="1:11" s="107" customFormat="1">
      <c r="A12" s="175"/>
      <c r="B12" s="176" t="s">
        <v>9</v>
      </c>
      <c r="C12" s="177">
        <v>20</v>
      </c>
      <c r="D12" s="137">
        <v>8</v>
      </c>
      <c r="E12" s="191" t="s">
        <v>10</v>
      </c>
      <c r="F12" s="137">
        <v>43</v>
      </c>
      <c r="G12" s="178">
        <f t="shared" ref="G12:G19" si="0">F12*D12</f>
        <v>344</v>
      </c>
      <c r="H12" s="137">
        <v>8</v>
      </c>
      <c r="I12" s="179">
        <f>H12*D12</f>
        <v>64</v>
      </c>
      <c r="J12" s="181"/>
    </row>
    <row r="13" spans="1:11" s="107" customFormat="1">
      <c r="A13" s="126"/>
      <c r="B13" s="127" t="s">
        <v>103</v>
      </c>
      <c r="C13" s="128" t="s">
        <v>71</v>
      </c>
      <c r="D13" s="129">
        <v>6</v>
      </c>
      <c r="E13" s="129" t="s">
        <v>10</v>
      </c>
      <c r="F13" s="182">
        <v>149</v>
      </c>
      <c r="G13" s="130">
        <f>F13*D13</f>
        <v>894</v>
      </c>
      <c r="H13" s="130">
        <v>17</v>
      </c>
      <c r="I13" s="130">
        <f>H13*D13</f>
        <v>102</v>
      </c>
      <c r="J13" s="132"/>
    </row>
    <row r="14" spans="1:11" s="107" customFormat="1">
      <c r="A14" s="126"/>
      <c r="B14" s="127" t="s">
        <v>116</v>
      </c>
      <c r="C14" s="128" t="s">
        <v>42</v>
      </c>
      <c r="D14" s="129">
        <v>1</v>
      </c>
      <c r="E14" s="128" t="s">
        <v>13</v>
      </c>
      <c r="F14" s="182">
        <v>1250</v>
      </c>
      <c r="G14" s="130">
        <f t="shared" si="0"/>
        <v>1250</v>
      </c>
      <c r="H14" s="130">
        <v>560</v>
      </c>
      <c r="I14" s="130">
        <f>H14*D14</f>
        <v>560</v>
      </c>
      <c r="J14" s="132"/>
    </row>
    <row r="15" spans="1:11" s="107" customFormat="1">
      <c r="A15" s="126"/>
      <c r="B15" s="127" t="s">
        <v>23</v>
      </c>
      <c r="C15" s="128" t="s">
        <v>24</v>
      </c>
      <c r="D15" s="129">
        <v>1</v>
      </c>
      <c r="E15" s="128" t="s">
        <v>15</v>
      </c>
      <c r="F15" s="129">
        <v>85</v>
      </c>
      <c r="G15" s="130">
        <f t="shared" si="0"/>
        <v>85</v>
      </c>
      <c r="H15" s="130">
        <v>0</v>
      </c>
      <c r="I15" s="130">
        <f t="shared" ref="I15:I22" si="1">H15*D15</f>
        <v>0</v>
      </c>
      <c r="J15" s="132"/>
    </row>
    <row r="16" spans="1:11" s="107" customFormat="1">
      <c r="A16" s="126"/>
      <c r="B16" s="127" t="s">
        <v>16</v>
      </c>
      <c r="C16" s="128">
        <v>20</v>
      </c>
      <c r="D16" s="129">
        <v>2</v>
      </c>
      <c r="E16" s="128" t="s">
        <v>15</v>
      </c>
      <c r="F16" s="129">
        <v>74</v>
      </c>
      <c r="G16" s="135">
        <f t="shared" si="0"/>
        <v>148</v>
      </c>
      <c r="H16" s="130">
        <v>0</v>
      </c>
      <c r="I16" s="130">
        <f t="shared" si="1"/>
        <v>0</v>
      </c>
      <c r="J16" s="132"/>
    </row>
    <row r="17" spans="1:10" s="107" customFormat="1">
      <c r="A17" s="126"/>
      <c r="B17" s="127" t="s">
        <v>14</v>
      </c>
      <c r="C17" s="128" t="s">
        <v>20</v>
      </c>
      <c r="D17" s="129">
        <v>2</v>
      </c>
      <c r="E17" s="128" t="s">
        <v>15</v>
      </c>
      <c r="F17" s="129">
        <v>189</v>
      </c>
      <c r="G17" s="135">
        <f t="shared" si="0"/>
        <v>378</v>
      </c>
      <c r="H17" s="130">
        <v>0</v>
      </c>
      <c r="I17" s="130">
        <f t="shared" si="1"/>
        <v>0</v>
      </c>
      <c r="J17" s="132"/>
    </row>
    <row r="18" spans="1:10" s="107" customFormat="1">
      <c r="A18" s="126"/>
      <c r="B18" s="127" t="s">
        <v>19</v>
      </c>
      <c r="C18" s="128" t="s">
        <v>6</v>
      </c>
      <c r="D18" s="129">
        <v>1</v>
      </c>
      <c r="E18" s="128" t="s">
        <v>15</v>
      </c>
      <c r="F18" s="129">
        <v>68</v>
      </c>
      <c r="G18" s="130">
        <f t="shared" si="0"/>
        <v>68</v>
      </c>
      <c r="H18" s="130">
        <v>0</v>
      </c>
      <c r="I18" s="130">
        <f t="shared" si="1"/>
        <v>0</v>
      </c>
      <c r="J18" s="132"/>
    </row>
    <row r="19" spans="1:10" s="107" customFormat="1">
      <c r="A19" s="126"/>
      <c r="B19" s="127" t="s">
        <v>35</v>
      </c>
      <c r="C19" s="128" t="s">
        <v>20</v>
      </c>
      <c r="D19" s="129">
        <v>1</v>
      </c>
      <c r="E19" s="128" t="s">
        <v>15</v>
      </c>
      <c r="F19" s="129">
        <v>81</v>
      </c>
      <c r="G19" s="130">
        <f t="shared" si="0"/>
        <v>81</v>
      </c>
      <c r="H19" s="130">
        <v>0</v>
      </c>
      <c r="I19" s="130">
        <f t="shared" si="1"/>
        <v>0</v>
      </c>
      <c r="J19" s="132"/>
    </row>
    <row r="20" spans="1:10" s="107" customFormat="1">
      <c r="A20" s="126"/>
      <c r="B20" s="127" t="s">
        <v>17</v>
      </c>
      <c r="C20" s="128"/>
      <c r="D20" s="129">
        <v>1</v>
      </c>
      <c r="E20" s="128" t="s">
        <v>18</v>
      </c>
      <c r="F20" s="129">
        <v>12</v>
      </c>
      <c r="G20" s="130">
        <f>F20*D20</f>
        <v>12</v>
      </c>
      <c r="H20" s="130">
        <v>0</v>
      </c>
      <c r="I20" s="130">
        <f t="shared" si="1"/>
        <v>0</v>
      </c>
      <c r="J20" s="132"/>
    </row>
    <row r="21" spans="1:10" s="107" customFormat="1">
      <c r="A21" s="126"/>
      <c r="B21" s="127" t="s">
        <v>36</v>
      </c>
      <c r="C21" s="128"/>
      <c r="D21" s="129">
        <v>1</v>
      </c>
      <c r="E21" s="128" t="s">
        <v>13</v>
      </c>
      <c r="F21" s="129">
        <v>3</v>
      </c>
      <c r="G21" s="130">
        <f>F21*D21</f>
        <v>3</v>
      </c>
      <c r="H21" s="130">
        <v>0</v>
      </c>
      <c r="I21" s="130">
        <f t="shared" si="1"/>
        <v>0</v>
      </c>
      <c r="J21" s="132"/>
    </row>
    <row r="22" spans="1:10" s="107" customFormat="1">
      <c r="A22" s="126"/>
      <c r="B22" s="127" t="s">
        <v>38</v>
      </c>
      <c r="C22" s="128"/>
      <c r="D22" s="190">
        <v>0.25</v>
      </c>
      <c r="E22" s="128" t="s">
        <v>37</v>
      </c>
      <c r="F22" s="129">
        <v>320</v>
      </c>
      <c r="G22" s="130">
        <f>F22*D22</f>
        <v>80</v>
      </c>
      <c r="H22" s="130">
        <v>0</v>
      </c>
      <c r="I22" s="130">
        <f t="shared" si="1"/>
        <v>0</v>
      </c>
      <c r="J22" s="132"/>
    </row>
    <row r="23" spans="1:10" s="114" customFormat="1">
      <c r="A23" s="108"/>
      <c r="B23" s="109" t="s">
        <v>50</v>
      </c>
      <c r="C23" s="109"/>
      <c r="D23" s="109"/>
      <c r="E23" s="109"/>
      <c r="F23" s="110"/>
      <c r="G23" s="111">
        <f>SUM(G12:G22)</f>
        <v>3343</v>
      </c>
      <c r="H23" s="185"/>
      <c r="I23" s="133"/>
      <c r="J23" s="113"/>
    </row>
    <row r="24" spans="1:10" s="114" customFormat="1">
      <c r="A24" s="115"/>
      <c r="B24" s="116" t="s">
        <v>51</v>
      </c>
      <c r="C24" s="116"/>
      <c r="D24" s="116"/>
      <c r="E24" s="116"/>
      <c r="F24" s="117"/>
      <c r="G24" s="118">
        <v>0</v>
      </c>
      <c r="H24" s="119"/>
      <c r="I24" s="136"/>
      <c r="J24" s="120"/>
    </row>
    <row r="25" spans="1:10" s="114" customFormat="1">
      <c r="A25" s="121"/>
      <c r="B25" s="122" t="s">
        <v>54</v>
      </c>
      <c r="C25" s="275"/>
      <c r="D25" s="276"/>
      <c r="E25" s="276"/>
      <c r="F25" s="277"/>
      <c r="G25" s="123">
        <f>SUM(G23:G24)</f>
        <v>3343</v>
      </c>
      <c r="H25" s="124"/>
      <c r="I25" s="123">
        <f>SUM(I12:I24)</f>
        <v>726</v>
      </c>
      <c r="J25" s="125"/>
    </row>
    <row r="26" spans="1:10" s="107" customFormat="1">
      <c r="A26" s="282" t="s">
        <v>55</v>
      </c>
      <c r="B26" s="283"/>
      <c r="C26" s="283"/>
      <c r="D26" s="283"/>
      <c r="E26" s="283"/>
      <c r="F26" s="283"/>
      <c r="G26" s="283"/>
      <c r="H26" s="283"/>
      <c r="I26" s="283"/>
      <c r="J26" s="284"/>
    </row>
    <row r="27" spans="1:10" s="107" customFormat="1">
      <c r="A27" s="137"/>
      <c r="B27" s="138"/>
      <c r="C27" s="313" t="s">
        <v>53</v>
      </c>
      <c r="D27" s="314"/>
      <c r="E27" s="314"/>
      <c r="F27" s="314"/>
      <c r="G27" s="314"/>
      <c r="H27" s="314"/>
      <c r="I27" s="315"/>
      <c r="J27" s="139"/>
    </row>
    <row r="28" spans="1:10" s="114" customFormat="1">
      <c r="A28" s="108"/>
      <c r="B28" s="109" t="s">
        <v>50</v>
      </c>
      <c r="C28" s="109"/>
      <c r="D28" s="109"/>
      <c r="E28" s="109"/>
      <c r="F28" s="110"/>
      <c r="G28" s="140">
        <f>SUM(G27:G27)</f>
        <v>0</v>
      </c>
      <c r="H28" s="112"/>
      <c r="I28" s="112"/>
      <c r="J28" s="113"/>
    </row>
    <row r="29" spans="1:10" s="114" customFormat="1">
      <c r="A29" s="115"/>
      <c r="B29" s="116" t="s">
        <v>51</v>
      </c>
      <c r="C29" s="116"/>
      <c r="D29" s="116"/>
      <c r="E29" s="116"/>
      <c r="F29" s="117"/>
      <c r="G29" s="118">
        <f>G28*10%</f>
        <v>0</v>
      </c>
      <c r="H29" s="119"/>
      <c r="I29" s="119"/>
      <c r="J29" s="120"/>
    </row>
    <row r="30" spans="1:10" s="114" customFormat="1">
      <c r="A30" s="141"/>
      <c r="B30" s="122" t="s">
        <v>56</v>
      </c>
      <c r="C30" s="275"/>
      <c r="D30" s="276"/>
      <c r="E30" s="276"/>
      <c r="F30" s="277"/>
      <c r="G30" s="123">
        <f>SUM(G28:G29)</f>
        <v>0</v>
      </c>
      <c r="H30" s="124"/>
      <c r="I30" s="142">
        <f>SUM(I27:I29)</f>
        <v>0</v>
      </c>
      <c r="J30" s="143">
        <f>I30+G30</f>
        <v>0</v>
      </c>
    </row>
    <row r="31" spans="1:10" s="107" customFormat="1">
      <c r="A31" s="282" t="s">
        <v>57</v>
      </c>
      <c r="B31" s="283"/>
      <c r="C31" s="283"/>
      <c r="D31" s="283"/>
      <c r="E31" s="283"/>
      <c r="F31" s="283"/>
      <c r="G31" s="283"/>
      <c r="H31" s="283"/>
      <c r="I31" s="283"/>
      <c r="J31" s="284"/>
    </row>
    <row r="32" spans="1:10" s="107" customFormat="1">
      <c r="A32" s="137"/>
      <c r="B32" s="138"/>
      <c r="C32" s="313" t="s">
        <v>53</v>
      </c>
      <c r="D32" s="314"/>
      <c r="E32" s="314"/>
      <c r="F32" s="314"/>
      <c r="G32" s="314"/>
      <c r="H32" s="314"/>
      <c r="I32" s="315"/>
      <c r="J32" s="139"/>
    </row>
    <row r="33" spans="1:13" s="107" customFormat="1">
      <c r="A33" s="144"/>
      <c r="B33" s="145" t="s">
        <v>50</v>
      </c>
      <c r="C33" s="145"/>
      <c r="D33" s="145"/>
      <c r="E33" s="145"/>
      <c r="F33" s="130"/>
      <c r="G33" s="111">
        <f>SUM(G32:G32)</f>
        <v>0</v>
      </c>
      <c r="H33" s="146"/>
      <c r="I33" s="146"/>
      <c r="J33" s="147"/>
    </row>
    <row r="34" spans="1:13" s="107" customFormat="1">
      <c r="A34" s="148"/>
      <c r="B34" s="149" t="s">
        <v>51</v>
      </c>
      <c r="C34" s="149"/>
      <c r="D34" s="149"/>
      <c r="E34" s="149"/>
      <c r="F34" s="150"/>
      <c r="G34" s="151">
        <f>G33*10%</f>
        <v>0</v>
      </c>
      <c r="H34" s="152"/>
      <c r="I34" s="152"/>
      <c r="J34" s="153"/>
    </row>
    <row r="35" spans="1:13" s="107" customFormat="1">
      <c r="A35" s="154"/>
      <c r="B35" s="155" t="s">
        <v>58</v>
      </c>
      <c r="C35" s="319"/>
      <c r="D35" s="320"/>
      <c r="E35" s="320"/>
      <c r="F35" s="321"/>
      <c r="G35" s="156">
        <f>SUM(G33:G34)</f>
        <v>0</v>
      </c>
      <c r="H35" s="157"/>
      <c r="I35" s="158">
        <f>SUM(I32:I34)</f>
        <v>0</v>
      </c>
      <c r="J35" s="159">
        <f>I35+G35</f>
        <v>0</v>
      </c>
    </row>
    <row r="36" spans="1:13" s="114" customFormat="1">
      <c r="A36" s="309" t="s">
        <v>65</v>
      </c>
      <c r="B36" s="310"/>
      <c r="C36" s="290"/>
      <c r="D36" s="291"/>
      <c r="E36" s="291"/>
      <c r="F36" s="291"/>
      <c r="G36" s="291"/>
      <c r="H36" s="291"/>
      <c r="I36" s="292"/>
      <c r="J36" s="160">
        <v>3600</v>
      </c>
      <c r="K36" s="161"/>
      <c r="L36" s="172"/>
      <c r="M36" s="173"/>
    </row>
    <row r="37" spans="1:13" s="163" customFormat="1">
      <c r="A37" s="293" t="s">
        <v>59</v>
      </c>
      <c r="B37" s="294"/>
      <c r="C37" s="295"/>
      <c r="D37" s="296"/>
      <c r="E37" s="296"/>
      <c r="F37" s="296"/>
      <c r="G37" s="296"/>
      <c r="H37" s="296"/>
      <c r="I37" s="297"/>
      <c r="J37" s="162">
        <v>0</v>
      </c>
    </row>
    <row r="38" spans="1:13" s="107" customFormat="1">
      <c r="A38" s="268" t="s">
        <v>60</v>
      </c>
      <c r="B38" s="322"/>
      <c r="C38" s="164" t="s">
        <v>8</v>
      </c>
      <c r="D38" s="165" t="s">
        <v>8</v>
      </c>
      <c r="E38" s="166" t="s">
        <v>61</v>
      </c>
      <c r="F38" s="270">
        <v>0</v>
      </c>
      <c r="G38" s="271"/>
      <c r="H38" s="272">
        <v>0</v>
      </c>
      <c r="I38" s="273"/>
      <c r="J38" s="274"/>
    </row>
    <row r="39" spans="1:13" s="163" customFormat="1">
      <c r="A39" s="254" t="s">
        <v>62</v>
      </c>
      <c r="B39" s="255"/>
      <c r="C39" s="167" t="s">
        <v>6</v>
      </c>
      <c r="D39" s="168">
        <v>1</v>
      </c>
      <c r="E39" s="169" t="s">
        <v>7</v>
      </c>
      <c r="F39" s="256">
        <v>0</v>
      </c>
      <c r="G39" s="257"/>
      <c r="H39" s="257"/>
      <c r="I39" s="257"/>
      <c r="J39" s="258"/>
    </row>
    <row r="40" spans="1:13" s="163" customFormat="1" ht="24.75" thickBot="1">
      <c r="A40" s="259" t="s">
        <v>63</v>
      </c>
      <c r="B40" s="260"/>
      <c r="C40" s="261">
        <f>(J36+J37+H38+F39)</f>
        <v>3600</v>
      </c>
      <c r="D40" s="262"/>
      <c r="E40" s="262"/>
      <c r="F40" s="262"/>
      <c r="G40" s="262"/>
      <c r="H40" s="262"/>
      <c r="I40" s="262"/>
      <c r="J40" s="263"/>
      <c r="L40" s="174"/>
    </row>
    <row r="41" spans="1:13" s="163" customFormat="1" ht="24.75" thickBot="1">
      <c r="A41" s="264" t="str">
        <f>BAHTTEXT(C40)</f>
        <v>สามพันหกร้อยบาทถ้วน</v>
      </c>
      <c r="B41" s="265"/>
      <c r="C41" s="265"/>
      <c r="D41" s="265"/>
      <c r="E41" s="265"/>
      <c r="F41" s="265"/>
      <c r="G41" s="265"/>
      <c r="H41" s="265"/>
      <c r="I41" s="265"/>
      <c r="J41" s="266"/>
    </row>
    <row r="43" spans="1:13" s="171" customFormat="1">
      <c r="A43" s="267" t="s">
        <v>64</v>
      </c>
      <c r="B43" s="267"/>
      <c r="C43" s="170"/>
      <c r="D43" s="170"/>
      <c r="E43" s="253" t="s">
        <v>128</v>
      </c>
      <c r="F43" s="253"/>
      <c r="G43" s="253"/>
      <c r="H43" s="253"/>
      <c r="I43" s="253"/>
      <c r="J43" s="253"/>
      <c r="K43" s="170"/>
    </row>
    <row r="44" spans="1:13" s="171" customFormat="1">
      <c r="A44" s="253" t="s">
        <v>79</v>
      </c>
      <c r="B44" s="253"/>
      <c r="C44" s="170"/>
      <c r="D44" s="170"/>
      <c r="E44" s="253" t="s">
        <v>93</v>
      </c>
      <c r="F44" s="253"/>
      <c r="G44" s="253"/>
      <c r="H44" s="253"/>
      <c r="I44" s="253"/>
      <c r="J44" s="253"/>
      <c r="K44" s="170"/>
    </row>
    <row r="45" spans="1:13" s="171" customFormat="1">
      <c r="A45" s="253" t="s">
        <v>109</v>
      </c>
      <c r="B45" s="253"/>
      <c r="C45" s="170"/>
      <c r="D45" s="170"/>
      <c r="E45" s="253" t="s">
        <v>110</v>
      </c>
      <c r="F45" s="253"/>
      <c r="G45" s="253"/>
      <c r="H45" s="253"/>
      <c r="I45" s="253"/>
      <c r="J45" s="253"/>
      <c r="K45" s="170"/>
    </row>
    <row r="46" spans="1:13">
      <c r="E46" s="253"/>
      <c r="F46" s="253"/>
      <c r="G46" s="253"/>
      <c r="H46" s="253"/>
      <c r="I46" s="253"/>
      <c r="J46" s="253"/>
    </row>
  </sheetData>
  <mergeCells count="42">
    <mergeCell ref="A1:J1"/>
    <mergeCell ref="A2:B2"/>
    <mergeCell ref="C2:G2"/>
    <mergeCell ref="H2:J2"/>
    <mergeCell ref="A3:J3"/>
    <mergeCell ref="C32:I32"/>
    <mergeCell ref="F4:G4"/>
    <mergeCell ref="H4:I4"/>
    <mergeCell ref="J4:J5"/>
    <mergeCell ref="A6:J6"/>
    <mergeCell ref="C10:F10"/>
    <mergeCell ref="A11:J11"/>
    <mergeCell ref="A4:A5"/>
    <mergeCell ref="B4:B5"/>
    <mergeCell ref="C4:C5"/>
    <mergeCell ref="D4:D5"/>
    <mergeCell ref="E4:E5"/>
    <mergeCell ref="C25:F25"/>
    <mergeCell ref="A26:J26"/>
    <mergeCell ref="C27:I27"/>
    <mergeCell ref="C30:F30"/>
    <mergeCell ref="A31:J31"/>
    <mergeCell ref="A43:B43"/>
    <mergeCell ref="E43:J43"/>
    <mergeCell ref="C35:F35"/>
    <mergeCell ref="A36:B36"/>
    <mergeCell ref="C36:I36"/>
    <mergeCell ref="A37:B37"/>
    <mergeCell ref="C37:I37"/>
    <mergeCell ref="A38:B38"/>
    <mergeCell ref="F38:G38"/>
    <mergeCell ref="H38:J38"/>
    <mergeCell ref="A39:B39"/>
    <mergeCell ref="F39:J39"/>
    <mergeCell ref="A40:B40"/>
    <mergeCell ref="C40:J40"/>
    <mergeCell ref="A41:J41"/>
    <mergeCell ref="A44:B44"/>
    <mergeCell ref="E44:J44"/>
    <mergeCell ref="A45:B45"/>
    <mergeCell ref="E45:J45"/>
    <mergeCell ref="E46:J46"/>
  </mergeCells>
  <conditionalFormatting sqref="F39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8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5" orientation="portrait" r:id="rId1"/>
  <colBreaks count="1" manualBreakCount="1">
    <brk id="1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00B050"/>
  </sheetPr>
  <dimension ref="A1:M45"/>
  <sheetViews>
    <sheetView view="pageBreakPreview" zoomScale="160" zoomScaleNormal="100" zoomScaleSheetLayoutView="160" workbookViewId="0">
      <selection activeCell="A3" sqref="A3:J3"/>
    </sheetView>
  </sheetViews>
  <sheetFormatPr defaultColWidth="9" defaultRowHeight="24"/>
  <cols>
    <col min="1" max="1" width="5.75" style="99" customWidth="1"/>
    <col min="2" max="2" width="44.62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1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71" customFormat="1">
      <c r="A2" s="253" t="s">
        <v>34</v>
      </c>
      <c r="B2" s="253"/>
      <c r="C2" s="253" t="s">
        <v>142</v>
      </c>
      <c r="D2" s="253"/>
      <c r="E2" s="253"/>
      <c r="F2" s="253"/>
      <c r="G2" s="253"/>
      <c r="H2" s="299" t="s">
        <v>66</v>
      </c>
      <c r="I2" s="299"/>
      <c r="J2" s="299"/>
      <c r="K2" s="96"/>
    </row>
    <row r="3" spans="1:11" s="171" customFormat="1">
      <c r="A3" s="308" t="s">
        <v>157</v>
      </c>
      <c r="B3" s="308"/>
      <c r="C3" s="308"/>
      <c r="D3" s="308"/>
      <c r="E3" s="308"/>
      <c r="F3" s="308"/>
      <c r="G3" s="308"/>
      <c r="H3" s="308"/>
      <c r="I3" s="308"/>
      <c r="J3" s="308"/>
      <c r="K3" s="95"/>
    </row>
    <row r="4" spans="1:11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1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1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1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04">
        <v>986</v>
      </c>
      <c r="G7" s="105">
        <f>D7*F7</f>
        <v>986</v>
      </c>
      <c r="H7" s="105">
        <v>100</v>
      </c>
      <c r="I7" s="105">
        <f>D7*H7</f>
        <v>100</v>
      </c>
      <c r="J7" s="106"/>
    </row>
    <row r="8" spans="1:11" s="114" customFormat="1">
      <c r="A8" s="108"/>
      <c r="B8" s="109" t="s">
        <v>50</v>
      </c>
      <c r="C8" s="109"/>
      <c r="D8" s="109"/>
      <c r="E8" s="109"/>
      <c r="F8" s="110"/>
      <c r="G8" s="111">
        <f>SUM(G7:G7)</f>
        <v>986</v>
      </c>
      <c r="H8" s="112"/>
      <c r="I8" s="112"/>
      <c r="J8" s="113"/>
    </row>
    <row r="9" spans="1:11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</row>
    <row r="10" spans="1:11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986</v>
      </c>
      <c r="H10" s="124"/>
      <c r="I10" s="123">
        <f>SUM(I7:I9)</f>
        <v>100</v>
      </c>
      <c r="J10" s="125"/>
    </row>
    <row r="11" spans="1:11">
      <c r="A11" s="316" t="s">
        <v>52</v>
      </c>
      <c r="B11" s="317"/>
      <c r="C11" s="317"/>
      <c r="D11" s="317"/>
      <c r="E11" s="317"/>
      <c r="F11" s="317"/>
      <c r="G11" s="317"/>
      <c r="H11" s="317"/>
      <c r="I11" s="317"/>
      <c r="J11" s="318"/>
    </row>
    <row r="12" spans="1:11" s="107" customFormat="1">
      <c r="A12" s="175"/>
      <c r="B12" s="176" t="s">
        <v>9</v>
      </c>
      <c r="C12" s="177">
        <v>20</v>
      </c>
      <c r="D12" s="137">
        <v>2</v>
      </c>
      <c r="E12" s="177" t="s">
        <v>10</v>
      </c>
      <c r="F12" s="137">
        <v>43</v>
      </c>
      <c r="G12" s="178">
        <f t="shared" ref="G12:G18" si="0">F12*D12</f>
        <v>86</v>
      </c>
      <c r="H12" s="137">
        <v>8</v>
      </c>
      <c r="I12" s="179">
        <f>H12*D12</f>
        <v>16</v>
      </c>
      <c r="J12" s="181"/>
    </row>
    <row r="13" spans="1:11" s="107" customFormat="1">
      <c r="A13" s="126"/>
      <c r="B13" s="127" t="s">
        <v>116</v>
      </c>
      <c r="C13" s="128" t="s">
        <v>42</v>
      </c>
      <c r="D13" s="129">
        <v>1</v>
      </c>
      <c r="E13" s="128" t="s">
        <v>13</v>
      </c>
      <c r="F13" s="182">
        <v>1250</v>
      </c>
      <c r="G13" s="130">
        <f t="shared" si="0"/>
        <v>1250</v>
      </c>
      <c r="H13" s="130">
        <v>560</v>
      </c>
      <c r="I13" s="130">
        <f>H13*D13</f>
        <v>560</v>
      </c>
      <c r="J13" s="132"/>
    </row>
    <row r="14" spans="1:11" s="107" customFormat="1">
      <c r="A14" s="126"/>
      <c r="B14" s="127" t="s">
        <v>23</v>
      </c>
      <c r="C14" s="128" t="s">
        <v>24</v>
      </c>
      <c r="D14" s="129">
        <v>1</v>
      </c>
      <c r="E14" s="128" t="s">
        <v>15</v>
      </c>
      <c r="F14" s="129">
        <v>85</v>
      </c>
      <c r="G14" s="130">
        <f t="shared" si="0"/>
        <v>85</v>
      </c>
      <c r="H14" s="130">
        <v>0</v>
      </c>
      <c r="I14" s="130">
        <f t="shared" ref="I14:I21" si="1">H14*D14</f>
        <v>0</v>
      </c>
      <c r="J14" s="132"/>
    </row>
    <row r="15" spans="1:11" s="107" customFormat="1">
      <c r="A15" s="126"/>
      <c r="B15" s="127" t="s">
        <v>16</v>
      </c>
      <c r="C15" s="128">
        <v>20</v>
      </c>
      <c r="D15" s="129">
        <v>2</v>
      </c>
      <c r="E15" s="128" t="s">
        <v>15</v>
      </c>
      <c r="F15" s="129">
        <v>74</v>
      </c>
      <c r="G15" s="135">
        <f t="shared" si="0"/>
        <v>148</v>
      </c>
      <c r="H15" s="130">
        <v>0</v>
      </c>
      <c r="I15" s="130">
        <f t="shared" si="1"/>
        <v>0</v>
      </c>
      <c r="J15" s="132"/>
    </row>
    <row r="16" spans="1:11" s="107" customFormat="1">
      <c r="A16" s="126"/>
      <c r="B16" s="127" t="s">
        <v>14</v>
      </c>
      <c r="C16" s="128" t="s">
        <v>20</v>
      </c>
      <c r="D16" s="129">
        <v>2</v>
      </c>
      <c r="E16" s="128" t="s">
        <v>15</v>
      </c>
      <c r="F16" s="129">
        <v>189</v>
      </c>
      <c r="G16" s="135">
        <f t="shared" si="0"/>
        <v>378</v>
      </c>
      <c r="H16" s="130">
        <v>0</v>
      </c>
      <c r="I16" s="130">
        <f t="shared" si="1"/>
        <v>0</v>
      </c>
      <c r="J16" s="132"/>
    </row>
    <row r="17" spans="1:10" s="107" customFormat="1">
      <c r="A17" s="126"/>
      <c r="B17" s="127" t="s">
        <v>19</v>
      </c>
      <c r="C17" s="128" t="s">
        <v>6</v>
      </c>
      <c r="D17" s="129">
        <v>1</v>
      </c>
      <c r="E17" s="128" t="s">
        <v>15</v>
      </c>
      <c r="F17" s="129">
        <v>68</v>
      </c>
      <c r="G17" s="130">
        <f t="shared" si="0"/>
        <v>68</v>
      </c>
      <c r="H17" s="130">
        <v>0</v>
      </c>
      <c r="I17" s="130">
        <f t="shared" si="1"/>
        <v>0</v>
      </c>
      <c r="J17" s="132"/>
    </row>
    <row r="18" spans="1:10" s="107" customFormat="1">
      <c r="A18" s="126"/>
      <c r="B18" s="127" t="s">
        <v>35</v>
      </c>
      <c r="C18" s="128" t="s">
        <v>20</v>
      </c>
      <c r="D18" s="129">
        <v>1</v>
      </c>
      <c r="E18" s="128" t="s">
        <v>15</v>
      </c>
      <c r="F18" s="129">
        <v>81</v>
      </c>
      <c r="G18" s="130">
        <f t="shared" si="0"/>
        <v>81</v>
      </c>
      <c r="H18" s="130">
        <v>0</v>
      </c>
      <c r="I18" s="130">
        <f t="shared" si="1"/>
        <v>0</v>
      </c>
      <c r="J18" s="132"/>
    </row>
    <row r="19" spans="1:10" s="107" customFormat="1">
      <c r="A19" s="126"/>
      <c r="B19" s="127" t="s">
        <v>17</v>
      </c>
      <c r="C19" s="128"/>
      <c r="D19" s="129">
        <v>1</v>
      </c>
      <c r="E19" s="128" t="s">
        <v>18</v>
      </c>
      <c r="F19" s="129">
        <v>12</v>
      </c>
      <c r="G19" s="130">
        <f>F19*D19</f>
        <v>12</v>
      </c>
      <c r="H19" s="130">
        <v>0</v>
      </c>
      <c r="I19" s="130">
        <f t="shared" si="1"/>
        <v>0</v>
      </c>
      <c r="J19" s="132"/>
    </row>
    <row r="20" spans="1:10" s="107" customFormat="1">
      <c r="A20" s="126"/>
      <c r="B20" s="127" t="s">
        <v>36</v>
      </c>
      <c r="C20" s="128"/>
      <c r="D20" s="129">
        <v>1</v>
      </c>
      <c r="E20" s="128" t="s">
        <v>13</v>
      </c>
      <c r="F20" s="129">
        <v>3</v>
      </c>
      <c r="G20" s="130">
        <f>F20*D20</f>
        <v>3</v>
      </c>
      <c r="H20" s="130">
        <v>0</v>
      </c>
      <c r="I20" s="130">
        <f t="shared" si="1"/>
        <v>0</v>
      </c>
      <c r="J20" s="132"/>
    </row>
    <row r="21" spans="1:10" s="107" customFormat="1">
      <c r="A21" s="126"/>
      <c r="B21" s="127" t="s">
        <v>77</v>
      </c>
      <c r="C21" s="128"/>
      <c r="D21" s="190">
        <v>0.25</v>
      </c>
      <c r="E21" s="128" t="s">
        <v>37</v>
      </c>
      <c r="F21" s="129">
        <v>540</v>
      </c>
      <c r="G21" s="130">
        <f>F21*D21</f>
        <v>135</v>
      </c>
      <c r="H21" s="130">
        <v>0</v>
      </c>
      <c r="I21" s="130">
        <f t="shared" si="1"/>
        <v>0</v>
      </c>
      <c r="J21" s="132"/>
    </row>
    <row r="22" spans="1:10" s="114" customFormat="1">
      <c r="A22" s="108"/>
      <c r="B22" s="109" t="s">
        <v>50</v>
      </c>
      <c r="C22" s="109"/>
      <c r="D22" s="109"/>
      <c r="E22" s="109"/>
      <c r="F22" s="110"/>
      <c r="G22" s="111">
        <f>SUM(G12:G21)</f>
        <v>2246</v>
      </c>
      <c r="H22" s="185"/>
      <c r="I22" s="133"/>
      <c r="J22" s="113"/>
    </row>
    <row r="23" spans="1:10" s="114" customFormat="1">
      <c r="A23" s="115"/>
      <c r="B23" s="116" t="s">
        <v>51</v>
      </c>
      <c r="C23" s="116"/>
      <c r="D23" s="116"/>
      <c r="E23" s="116"/>
      <c r="F23" s="117"/>
      <c r="G23" s="118">
        <v>0</v>
      </c>
      <c r="H23" s="119"/>
      <c r="I23" s="136"/>
      <c r="J23" s="120"/>
    </row>
    <row r="24" spans="1:10" s="114" customFormat="1">
      <c r="A24" s="121"/>
      <c r="B24" s="122" t="s">
        <v>54</v>
      </c>
      <c r="C24" s="275"/>
      <c r="D24" s="276"/>
      <c r="E24" s="276"/>
      <c r="F24" s="277"/>
      <c r="G24" s="123">
        <f>SUM(G22:G23)</f>
        <v>2246</v>
      </c>
      <c r="H24" s="124"/>
      <c r="I24" s="123">
        <f>SUM(I12:I23)</f>
        <v>576</v>
      </c>
      <c r="J24" s="125"/>
    </row>
    <row r="25" spans="1:10" s="107" customFormat="1">
      <c r="A25" s="282" t="s">
        <v>55</v>
      </c>
      <c r="B25" s="283"/>
      <c r="C25" s="283"/>
      <c r="D25" s="283"/>
      <c r="E25" s="283"/>
      <c r="F25" s="283"/>
      <c r="G25" s="283"/>
      <c r="H25" s="283"/>
      <c r="I25" s="283"/>
      <c r="J25" s="284"/>
    </row>
    <row r="26" spans="1:10" s="107" customFormat="1">
      <c r="A26" s="137"/>
      <c r="B26" s="138"/>
      <c r="C26" s="313" t="s">
        <v>53</v>
      </c>
      <c r="D26" s="314"/>
      <c r="E26" s="314"/>
      <c r="F26" s="314"/>
      <c r="G26" s="314"/>
      <c r="H26" s="314"/>
      <c r="I26" s="315"/>
      <c r="J26" s="139"/>
    </row>
    <row r="27" spans="1:10" s="114" customFormat="1">
      <c r="A27" s="108"/>
      <c r="B27" s="109" t="s">
        <v>50</v>
      </c>
      <c r="C27" s="109"/>
      <c r="D27" s="109"/>
      <c r="E27" s="109"/>
      <c r="F27" s="110"/>
      <c r="G27" s="140">
        <f>SUM(G26:G26)</f>
        <v>0</v>
      </c>
      <c r="H27" s="112"/>
      <c r="I27" s="112"/>
      <c r="J27" s="113"/>
    </row>
    <row r="28" spans="1:10" s="114" customFormat="1">
      <c r="A28" s="115"/>
      <c r="B28" s="116" t="s">
        <v>51</v>
      </c>
      <c r="C28" s="116"/>
      <c r="D28" s="116"/>
      <c r="E28" s="116"/>
      <c r="F28" s="117"/>
      <c r="G28" s="118">
        <f>G27*10%</f>
        <v>0</v>
      </c>
      <c r="H28" s="119"/>
      <c r="I28" s="119"/>
      <c r="J28" s="120"/>
    </row>
    <row r="29" spans="1:10" s="114" customFormat="1">
      <c r="A29" s="141"/>
      <c r="B29" s="122" t="s">
        <v>56</v>
      </c>
      <c r="C29" s="275"/>
      <c r="D29" s="276"/>
      <c r="E29" s="276"/>
      <c r="F29" s="277"/>
      <c r="G29" s="123">
        <f>SUM(G27:G28)</f>
        <v>0</v>
      </c>
      <c r="H29" s="124"/>
      <c r="I29" s="142">
        <f>SUM(I26:I28)</f>
        <v>0</v>
      </c>
      <c r="J29" s="143">
        <f>I29+G29</f>
        <v>0</v>
      </c>
    </row>
    <row r="30" spans="1:10" s="107" customFormat="1">
      <c r="A30" s="282" t="s">
        <v>57</v>
      </c>
      <c r="B30" s="283"/>
      <c r="C30" s="283"/>
      <c r="D30" s="283"/>
      <c r="E30" s="283"/>
      <c r="F30" s="283"/>
      <c r="G30" s="283"/>
      <c r="H30" s="283"/>
      <c r="I30" s="283"/>
      <c r="J30" s="284"/>
    </row>
    <row r="31" spans="1:10" s="107" customFormat="1">
      <c r="A31" s="137"/>
      <c r="B31" s="138"/>
      <c r="C31" s="313" t="s">
        <v>53</v>
      </c>
      <c r="D31" s="314"/>
      <c r="E31" s="314"/>
      <c r="F31" s="314"/>
      <c r="G31" s="314"/>
      <c r="H31" s="314"/>
      <c r="I31" s="315"/>
      <c r="J31" s="139"/>
    </row>
    <row r="32" spans="1:10" s="107" customFormat="1">
      <c r="A32" s="144"/>
      <c r="B32" s="145" t="s">
        <v>50</v>
      </c>
      <c r="C32" s="145"/>
      <c r="D32" s="145"/>
      <c r="E32" s="145"/>
      <c r="F32" s="130"/>
      <c r="G32" s="111">
        <f>SUM(G31:G31)</f>
        <v>0</v>
      </c>
      <c r="H32" s="146"/>
      <c r="I32" s="146"/>
      <c r="J32" s="147"/>
    </row>
    <row r="33" spans="1:13" s="107" customFormat="1">
      <c r="A33" s="148"/>
      <c r="B33" s="149" t="s">
        <v>51</v>
      </c>
      <c r="C33" s="149"/>
      <c r="D33" s="149"/>
      <c r="E33" s="149"/>
      <c r="F33" s="150"/>
      <c r="G33" s="151">
        <f>G32*10%</f>
        <v>0</v>
      </c>
      <c r="H33" s="152"/>
      <c r="I33" s="152"/>
      <c r="J33" s="153"/>
    </row>
    <row r="34" spans="1:13" s="107" customFormat="1">
      <c r="A34" s="154"/>
      <c r="B34" s="155" t="s">
        <v>58</v>
      </c>
      <c r="C34" s="319"/>
      <c r="D34" s="320"/>
      <c r="E34" s="320"/>
      <c r="F34" s="321"/>
      <c r="G34" s="156">
        <f>SUM(G32:G33)</f>
        <v>0</v>
      </c>
      <c r="H34" s="157"/>
      <c r="I34" s="158">
        <f>SUM(I31:I33)</f>
        <v>0</v>
      </c>
      <c r="J34" s="159">
        <f>I34+G34</f>
        <v>0</v>
      </c>
    </row>
    <row r="35" spans="1:13" s="114" customFormat="1">
      <c r="A35" s="288" t="s">
        <v>65</v>
      </c>
      <c r="B35" s="289"/>
      <c r="C35" s="290"/>
      <c r="D35" s="291"/>
      <c r="E35" s="291"/>
      <c r="F35" s="291"/>
      <c r="G35" s="291"/>
      <c r="H35" s="291"/>
      <c r="I35" s="292"/>
      <c r="J35" s="160">
        <v>3600</v>
      </c>
      <c r="K35" s="161"/>
      <c r="L35" s="172"/>
      <c r="M35" s="173"/>
    </row>
    <row r="36" spans="1:13" s="163" customFormat="1">
      <c r="A36" s="293" t="s">
        <v>59</v>
      </c>
      <c r="B36" s="294"/>
      <c r="C36" s="295"/>
      <c r="D36" s="296"/>
      <c r="E36" s="296"/>
      <c r="F36" s="296"/>
      <c r="G36" s="296"/>
      <c r="H36" s="296"/>
      <c r="I36" s="297"/>
      <c r="J36" s="162">
        <v>0</v>
      </c>
    </row>
    <row r="37" spans="1:13" s="107" customFormat="1">
      <c r="A37" s="268" t="s">
        <v>60</v>
      </c>
      <c r="B37" s="322"/>
      <c r="C37" s="164" t="s">
        <v>8</v>
      </c>
      <c r="D37" s="165" t="s">
        <v>8</v>
      </c>
      <c r="E37" s="166" t="s">
        <v>61</v>
      </c>
      <c r="F37" s="270">
        <v>0</v>
      </c>
      <c r="G37" s="271"/>
      <c r="H37" s="272">
        <v>0</v>
      </c>
      <c r="I37" s="273"/>
      <c r="J37" s="274"/>
    </row>
    <row r="38" spans="1:13" s="163" customFormat="1">
      <c r="A38" s="254" t="s">
        <v>62</v>
      </c>
      <c r="B38" s="255"/>
      <c r="C38" s="167" t="s">
        <v>6</v>
      </c>
      <c r="D38" s="168">
        <v>1</v>
      </c>
      <c r="E38" s="169" t="s">
        <v>7</v>
      </c>
      <c r="F38" s="256">
        <v>0</v>
      </c>
      <c r="G38" s="257"/>
      <c r="H38" s="257"/>
      <c r="I38" s="257"/>
      <c r="J38" s="258"/>
    </row>
    <row r="39" spans="1:13" s="163" customFormat="1" ht="24.75" thickBot="1">
      <c r="A39" s="259" t="s">
        <v>63</v>
      </c>
      <c r="B39" s="260"/>
      <c r="C39" s="261">
        <f>(J35+J36+H37+F38)</f>
        <v>3600</v>
      </c>
      <c r="D39" s="262"/>
      <c r="E39" s="262"/>
      <c r="F39" s="262"/>
      <c r="G39" s="262"/>
      <c r="H39" s="262"/>
      <c r="I39" s="262"/>
      <c r="J39" s="263"/>
      <c r="L39" s="174"/>
    </row>
    <row r="40" spans="1:13" s="163" customFormat="1" ht="24.75" thickBot="1">
      <c r="A40" s="264" t="str">
        <f>BAHTTEXT(C39)</f>
        <v>สามพันหกร้อยบาทถ้วน</v>
      </c>
      <c r="B40" s="265"/>
      <c r="C40" s="265"/>
      <c r="D40" s="265"/>
      <c r="E40" s="265"/>
      <c r="F40" s="265"/>
      <c r="G40" s="265"/>
      <c r="H40" s="265"/>
      <c r="I40" s="265"/>
      <c r="J40" s="266"/>
    </row>
    <row r="42" spans="1:13" s="171" customFormat="1">
      <c r="A42" s="267" t="s">
        <v>64</v>
      </c>
      <c r="B42" s="267"/>
      <c r="C42" s="170"/>
      <c r="D42" s="170"/>
      <c r="E42" s="253" t="s">
        <v>128</v>
      </c>
      <c r="F42" s="253"/>
      <c r="G42" s="253"/>
      <c r="H42" s="253"/>
      <c r="I42" s="253"/>
      <c r="J42" s="253"/>
      <c r="K42" s="170"/>
    </row>
    <row r="43" spans="1:13" s="171" customFormat="1">
      <c r="A43" s="253" t="s">
        <v>79</v>
      </c>
      <c r="B43" s="253"/>
      <c r="C43" s="170"/>
      <c r="D43" s="170"/>
      <c r="E43" s="253" t="s">
        <v>155</v>
      </c>
      <c r="F43" s="253"/>
      <c r="G43" s="253"/>
      <c r="H43" s="253"/>
      <c r="I43" s="253"/>
      <c r="J43" s="253"/>
      <c r="K43" s="170"/>
    </row>
    <row r="44" spans="1:13" s="171" customFormat="1">
      <c r="A44" s="253" t="s">
        <v>151</v>
      </c>
      <c r="B44" s="253"/>
      <c r="C44" s="170"/>
      <c r="D44" s="170"/>
      <c r="E44" s="253" t="s">
        <v>148</v>
      </c>
      <c r="F44" s="253"/>
      <c r="G44" s="253"/>
      <c r="H44" s="253"/>
      <c r="I44" s="253"/>
      <c r="J44" s="253"/>
      <c r="K44" s="170"/>
    </row>
    <row r="45" spans="1:13">
      <c r="E45" s="253"/>
      <c r="F45" s="253"/>
      <c r="G45" s="253"/>
      <c r="H45" s="253"/>
      <c r="I45" s="253"/>
      <c r="J45" s="253"/>
    </row>
  </sheetData>
  <mergeCells count="42">
    <mergeCell ref="E45:J45"/>
    <mergeCell ref="A43:B43"/>
    <mergeCell ref="A44:B44"/>
    <mergeCell ref="A38:B38"/>
    <mergeCell ref="F38:J38"/>
    <mergeCell ref="A39:B39"/>
    <mergeCell ref="C39:J39"/>
    <mergeCell ref="A40:J40"/>
    <mergeCell ref="A42:B42"/>
    <mergeCell ref="E42:J42"/>
    <mergeCell ref="E43:J43"/>
    <mergeCell ref="E44:J44"/>
    <mergeCell ref="A37:B37"/>
    <mergeCell ref="F37:G37"/>
    <mergeCell ref="H37:J37"/>
    <mergeCell ref="C24:F24"/>
    <mergeCell ref="A25:J25"/>
    <mergeCell ref="C26:I26"/>
    <mergeCell ref="C29:F29"/>
    <mergeCell ref="A30:J30"/>
    <mergeCell ref="C31:I31"/>
    <mergeCell ref="C34:F34"/>
    <mergeCell ref="A35:B35"/>
    <mergeCell ref="C35:I35"/>
    <mergeCell ref="A36:B36"/>
    <mergeCell ref="C36:I36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</mergeCells>
  <phoneticPr fontId="22" type="noConversion"/>
  <conditionalFormatting sqref="F38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7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5" orientation="portrait" r:id="rId1"/>
  <colBreaks count="1" manualBreakCount="1">
    <brk id="1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00B050"/>
  </sheetPr>
  <dimension ref="A1:M47"/>
  <sheetViews>
    <sheetView zoomScale="130" zoomScaleNormal="130" workbookViewId="0">
      <selection activeCell="A3" sqref="A3:J3"/>
    </sheetView>
  </sheetViews>
  <sheetFormatPr defaultColWidth="9" defaultRowHeight="24"/>
  <cols>
    <col min="1" max="1" width="5.75" style="99" customWidth="1"/>
    <col min="2" max="2" width="44.62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1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71" customFormat="1">
      <c r="A2" s="253" t="s">
        <v>34</v>
      </c>
      <c r="B2" s="253"/>
      <c r="C2" s="253" t="s">
        <v>118</v>
      </c>
      <c r="D2" s="253"/>
      <c r="E2" s="253"/>
      <c r="F2" s="253"/>
      <c r="G2" s="253"/>
      <c r="H2" s="299" t="s">
        <v>101</v>
      </c>
      <c r="I2" s="299"/>
      <c r="J2" s="299"/>
      <c r="K2" s="96"/>
    </row>
    <row r="3" spans="1:11" s="171" customFormat="1">
      <c r="A3" s="300" t="s">
        <v>134</v>
      </c>
      <c r="B3" s="300"/>
      <c r="C3" s="300"/>
      <c r="D3" s="300"/>
      <c r="E3" s="300"/>
      <c r="F3" s="300"/>
      <c r="G3" s="300"/>
      <c r="H3" s="300"/>
      <c r="I3" s="300"/>
      <c r="J3" s="300"/>
      <c r="K3" s="95"/>
    </row>
    <row r="4" spans="1:11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1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1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1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04">
        <v>986</v>
      </c>
      <c r="G7" s="105">
        <f>D7*F7</f>
        <v>986</v>
      </c>
      <c r="H7" s="105">
        <v>100</v>
      </c>
      <c r="I7" s="105">
        <f>D7*H7</f>
        <v>100</v>
      </c>
      <c r="J7" s="106"/>
    </row>
    <row r="8" spans="1:11" s="114" customFormat="1">
      <c r="A8" s="108"/>
      <c r="B8" s="109" t="s">
        <v>50</v>
      </c>
      <c r="C8" s="109"/>
      <c r="D8" s="109"/>
      <c r="E8" s="109"/>
      <c r="F8" s="110"/>
      <c r="G8" s="111">
        <f>SUM(G7:G7)</f>
        <v>986</v>
      </c>
      <c r="H8" s="112"/>
      <c r="I8" s="112"/>
      <c r="J8" s="113"/>
    </row>
    <row r="9" spans="1:11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</row>
    <row r="10" spans="1:11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986</v>
      </c>
      <c r="H10" s="124"/>
      <c r="I10" s="123">
        <f>SUM(I7:I9)</f>
        <v>100</v>
      </c>
      <c r="J10" s="125"/>
    </row>
    <row r="11" spans="1:11">
      <c r="A11" s="316" t="s">
        <v>52</v>
      </c>
      <c r="B11" s="317"/>
      <c r="C11" s="317"/>
      <c r="D11" s="317"/>
      <c r="E11" s="317"/>
      <c r="F11" s="317"/>
      <c r="G11" s="317"/>
      <c r="H11" s="317"/>
      <c r="I11" s="317"/>
      <c r="J11" s="318"/>
    </row>
    <row r="12" spans="1:11" s="107" customFormat="1">
      <c r="A12" s="175"/>
      <c r="B12" s="176" t="s">
        <v>9</v>
      </c>
      <c r="C12" s="177">
        <v>20</v>
      </c>
      <c r="D12" s="137">
        <v>8</v>
      </c>
      <c r="E12" s="177" t="s">
        <v>10</v>
      </c>
      <c r="F12" s="137">
        <v>43</v>
      </c>
      <c r="G12" s="178">
        <f t="shared" ref="G12:G19" si="0">F12*D12</f>
        <v>344</v>
      </c>
      <c r="H12" s="179">
        <v>8</v>
      </c>
      <c r="I12" s="180">
        <f>D12*H12</f>
        <v>64</v>
      </c>
      <c r="J12" s="181"/>
    </row>
    <row r="13" spans="1:11" s="107" customFormat="1">
      <c r="A13" s="126"/>
      <c r="B13" s="127" t="s">
        <v>103</v>
      </c>
      <c r="C13" s="128" t="s">
        <v>130</v>
      </c>
      <c r="D13" s="129">
        <v>6</v>
      </c>
      <c r="E13" s="128" t="s">
        <v>10</v>
      </c>
      <c r="F13" s="182">
        <v>149</v>
      </c>
      <c r="G13" s="130">
        <f>F13*D13</f>
        <v>894</v>
      </c>
      <c r="H13" s="183">
        <v>17</v>
      </c>
      <c r="I13" s="105">
        <f>D13*H13</f>
        <v>102</v>
      </c>
      <c r="J13" s="132"/>
    </row>
    <row r="14" spans="1:11" s="107" customFormat="1">
      <c r="A14" s="126"/>
      <c r="B14" s="127" t="s">
        <v>98</v>
      </c>
      <c r="C14" s="128" t="s">
        <v>39</v>
      </c>
      <c r="D14" s="129">
        <v>1</v>
      </c>
      <c r="E14" s="128" t="s">
        <v>13</v>
      </c>
      <c r="F14" s="182">
        <v>2100</v>
      </c>
      <c r="G14" s="130">
        <f t="shared" si="0"/>
        <v>2100</v>
      </c>
      <c r="H14" s="183">
        <v>840</v>
      </c>
      <c r="I14" s="105">
        <f>D14*H14</f>
        <v>840</v>
      </c>
      <c r="J14" s="132"/>
    </row>
    <row r="15" spans="1:11" s="107" customFormat="1">
      <c r="A15" s="126"/>
      <c r="B15" s="127" t="s">
        <v>23</v>
      </c>
      <c r="C15" s="128" t="s">
        <v>24</v>
      </c>
      <c r="D15" s="129">
        <v>1</v>
      </c>
      <c r="E15" s="128" t="s">
        <v>15</v>
      </c>
      <c r="F15" s="129">
        <v>85</v>
      </c>
      <c r="G15" s="130">
        <f t="shared" si="0"/>
        <v>85</v>
      </c>
      <c r="H15" s="133">
        <v>0</v>
      </c>
      <c r="I15" s="133">
        <v>0</v>
      </c>
      <c r="J15" s="132"/>
    </row>
    <row r="16" spans="1:11" s="107" customFormat="1">
      <c r="A16" s="126"/>
      <c r="B16" s="127" t="s">
        <v>16</v>
      </c>
      <c r="C16" s="128">
        <v>20</v>
      </c>
      <c r="D16" s="129">
        <v>2</v>
      </c>
      <c r="E16" s="128" t="s">
        <v>15</v>
      </c>
      <c r="F16" s="129">
        <v>74</v>
      </c>
      <c r="G16" s="135">
        <f t="shared" si="0"/>
        <v>148</v>
      </c>
      <c r="H16" s="133">
        <v>0</v>
      </c>
      <c r="I16" s="133">
        <v>0</v>
      </c>
      <c r="J16" s="132"/>
    </row>
    <row r="17" spans="1:10" s="107" customFormat="1">
      <c r="A17" s="126"/>
      <c r="B17" s="127" t="s">
        <v>14</v>
      </c>
      <c r="C17" s="128" t="s">
        <v>20</v>
      </c>
      <c r="D17" s="129">
        <v>2</v>
      </c>
      <c r="E17" s="128" t="s">
        <v>15</v>
      </c>
      <c r="F17" s="129">
        <v>189</v>
      </c>
      <c r="G17" s="135">
        <f t="shared" si="0"/>
        <v>378</v>
      </c>
      <c r="H17" s="133">
        <v>0</v>
      </c>
      <c r="I17" s="133">
        <v>0</v>
      </c>
      <c r="J17" s="132"/>
    </row>
    <row r="18" spans="1:10" s="107" customFormat="1">
      <c r="A18" s="126"/>
      <c r="B18" s="127" t="s">
        <v>19</v>
      </c>
      <c r="C18" s="128" t="s">
        <v>6</v>
      </c>
      <c r="D18" s="129">
        <v>1</v>
      </c>
      <c r="E18" s="128" t="s">
        <v>15</v>
      </c>
      <c r="F18" s="129">
        <v>68</v>
      </c>
      <c r="G18" s="130">
        <f t="shared" si="0"/>
        <v>68</v>
      </c>
      <c r="H18" s="134">
        <v>0</v>
      </c>
      <c r="I18" s="133">
        <v>0</v>
      </c>
      <c r="J18" s="132"/>
    </row>
    <row r="19" spans="1:10" s="107" customFormat="1">
      <c r="A19" s="126"/>
      <c r="B19" s="127" t="s">
        <v>35</v>
      </c>
      <c r="C19" s="128" t="s">
        <v>20</v>
      </c>
      <c r="D19" s="129">
        <v>1</v>
      </c>
      <c r="E19" s="128" t="s">
        <v>15</v>
      </c>
      <c r="F19" s="129">
        <v>81</v>
      </c>
      <c r="G19" s="130">
        <f t="shared" si="0"/>
        <v>81</v>
      </c>
      <c r="H19" s="133">
        <v>0</v>
      </c>
      <c r="I19" s="133">
        <v>0</v>
      </c>
      <c r="J19" s="132"/>
    </row>
    <row r="20" spans="1:10" s="107" customFormat="1">
      <c r="A20" s="126"/>
      <c r="B20" s="127" t="s">
        <v>17</v>
      </c>
      <c r="C20" s="128"/>
      <c r="D20" s="129">
        <v>1</v>
      </c>
      <c r="E20" s="128" t="s">
        <v>18</v>
      </c>
      <c r="F20" s="129">
        <v>12</v>
      </c>
      <c r="G20" s="130">
        <f>F20*D20</f>
        <v>12</v>
      </c>
      <c r="H20" s="133">
        <v>0</v>
      </c>
      <c r="I20" s="133">
        <v>0</v>
      </c>
      <c r="J20" s="132"/>
    </row>
    <row r="21" spans="1:10" s="107" customFormat="1">
      <c r="A21" s="126"/>
      <c r="B21" s="127" t="s">
        <v>36</v>
      </c>
      <c r="C21" s="128"/>
      <c r="D21" s="129">
        <v>1</v>
      </c>
      <c r="E21" s="128" t="s">
        <v>13</v>
      </c>
      <c r="F21" s="129">
        <v>3</v>
      </c>
      <c r="G21" s="130">
        <f>F21*D21</f>
        <v>3</v>
      </c>
      <c r="H21" s="133">
        <v>0</v>
      </c>
      <c r="I21" s="133">
        <v>0</v>
      </c>
      <c r="J21" s="132"/>
    </row>
    <row r="22" spans="1:10" s="107" customFormat="1">
      <c r="A22" s="126"/>
      <c r="B22" s="127" t="s">
        <v>104</v>
      </c>
      <c r="C22" s="128"/>
      <c r="D22" s="189" t="s">
        <v>131</v>
      </c>
      <c r="E22" s="128" t="s">
        <v>37</v>
      </c>
      <c r="F22" s="129">
        <v>340</v>
      </c>
      <c r="G22" s="130">
        <f>F22*D22</f>
        <v>340</v>
      </c>
      <c r="H22" s="134">
        <v>0</v>
      </c>
      <c r="I22" s="133">
        <v>0</v>
      </c>
      <c r="J22" s="132"/>
    </row>
    <row r="23" spans="1:10" s="114" customFormat="1">
      <c r="A23" s="108"/>
      <c r="B23" s="109" t="s">
        <v>50</v>
      </c>
      <c r="C23" s="109"/>
      <c r="D23" s="109"/>
      <c r="E23" s="109"/>
      <c r="F23" s="110"/>
      <c r="G23" s="111">
        <f>SUM(G12:G22)</f>
        <v>4453</v>
      </c>
      <c r="H23" s="185"/>
      <c r="I23" s="133"/>
      <c r="J23" s="113"/>
    </row>
    <row r="24" spans="1:10" s="114" customFormat="1">
      <c r="A24" s="115"/>
      <c r="B24" s="116" t="s">
        <v>51</v>
      </c>
      <c r="C24" s="116"/>
      <c r="D24" s="116"/>
      <c r="E24" s="116"/>
      <c r="F24" s="117"/>
      <c r="G24" s="118">
        <v>0</v>
      </c>
      <c r="H24" s="119"/>
      <c r="I24" s="136"/>
      <c r="J24" s="120"/>
    </row>
    <row r="25" spans="1:10" s="114" customFormat="1">
      <c r="A25" s="121"/>
      <c r="B25" s="122" t="s">
        <v>54</v>
      </c>
      <c r="C25" s="275"/>
      <c r="D25" s="276"/>
      <c r="E25" s="276"/>
      <c r="F25" s="277"/>
      <c r="G25" s="123">
        <f>SUM(G23:G24)</f>
        <v>4453</v>
      </c>
      <c r="H25" s="124"/>
      <c r="I25" s="123">
        <f>SUM(I12:I24)</f>
        <v>1006</v>
      </c>
      <c r="J25" s="125"/>
    </row>
    <row r="26" spans="1:10" s="107" customFormat="1">
      <c r="A26" s="282" t="s">
        <v>55</v>
      </c>
      <c r="B26" s="283"/>
      <c r="C26" s="283"/>
      <c r="D26" s="283"/>
      <c r="E26" s="283"/>
      <c r="F26" s="283"/>
      <c r="G26" s="283"/>
      <c r="H26" s="283"/>
      <c r="I26" s="283"/>
      <c r="J26" s="284"/>
    </row>
    <row r="27" spans="1:10" s="107" customFormat="1">
      <c r="A27" s="137"/>
      <c r="B27" s="138"/>
      <c r="C27" s="313" t="s">
        <v>53</v>
      </c>
      <c r="D27" s="314"/>
      <c r="E27" s="314"/>
      <c r="F27" s="314"/>
      <c r="G27" s="314"/>
      <c r="H27" s="314"/>
      <c r="I27" s="315"/>
      <c r="J27" s="139"/>
    </row>
    <row r="28" spans="1:10" s="114" customFormat="1">
      <c r="A28" s="108"/>
      <c r="B28" s="109" t="s">
        <v>50</v>
      </c>
      <c r="C28" s="109"/>
      <c r="D28" s="109"/>
      <c r="E28" s="109"/>
      <c r="F28" s="110"/>
      <c r="G28" s="140">
        <f>SUM(G27:G27)</f>
        <v>0</v>
      </c>
      <c r="H28" s="112"/>
      <c r="I28" s="112"/>
      <c r="J28" s="113"/>
    </row>
    <row r="29" spans="1:10" s="114" customFormat="1">
      <c r="A29" s="115"/>
      <c r="B29" s="116" t="s">
        <v>51</v>
      </c>
      <c r="C29" s="116"/>
      <c r="D29" s="116"/>
      <c r="E29" s="116"/>
      <c r="F29" s="117"/>
      <c r="G29" s="118">
        <f>G28*10%</f>
        <v>0</v>
      </c>
      <c r="H29" s="119"/>
      <c r="I29" s="119"/>
      <c r="J29" s="120"/>
    </row>
    <row r="30" spans="1:10" s="114" customFormat="1">
      <c r="A30" s="141"/>
      <c r="B30" s="122" t="s">
        <v>56</v>
      </c>
      <c r="C30" s="275"/>
      <c r="D30" s="276"/>
      <c r="E30" s="276"/>
      <c r="F30" s="277"/>
      <c r="G30" s="123">
        <f>SUM(G28:G29)</f>
        <v>0</v>
      </c>
      <c r="H30" s="124"/>
      <c r="I30" s="142">
        <f>SUM(I27:I29)</f>
        <v>0</v>
      </c>
      <c r="J30" s="143">
        <f>I30+G30</f>
        <v>0</v>
      </c>
    </row>
    <row r="31" spans="1:10" s="107" customFormat="1">
      <c r="A31" s="282" t="s">
        <v>57</v>
      </c>
      <c r="B31" s="283"/>
      <c r="C31" s="283"/>
      <c r="D31" s="283"/>
      <c r="E31" s="283"/>
      <c r="F31" s="283"/>
      <c r="G31" s="283"/>
      <c r="H31" s="283"/>
      <c r="I31" s="283"/>
      <c r="J31" s="284"/>
    </row>
    <row r="32" spans="1:10" s="107" customFormat="1">
      <c r="A32" s="137"/>
      <c r="B32" s="138"/>
      <c r="C32" s="313" t="s">
        <v>53</v>
      </c>
      <c r="D32" s="314"/>
      <c r="E32" s="314"/>
      <c r="F32" s="314"/>
      <c r="G32" s="314"/>
      <c r="H32" s="314"/>
      <c r="I32" s="315"/>
      <c r="J32" s="139"/>
    </row>
    <row r="33" spans="1:13" s="107" customFormat="1">
      <c r="A33" s="144"/>
      <c r="B33" s="145" t="s">
        <v>50</v>
      </c>
      <c r="C33" s="145"/>
      <c r="D33" s="145"/>
      <c r="E33" s="145"/>
      <c r="F33" s="130"/>
      <c r="G33" s="111">
        <f>SUM(G32:G32)</f>
        <v>0</v>
      </c>
      <c r="H33" s="146"/>
      <c r="I33" s="146"/>
      <c r="J33" s="147"/>
    </row>
    <row r="34" spans="1:13" s="107" customFormat="1">
      <c r="A34" s="148"/>
      <c r="B34" s="149" t="s">
        <v>51</v>
      </c>
      <c r="C34" s="149"/>
      <c r="D34" s="149"/>
      <c r="E34" s="149"/>
      <c r="F34" s="150"/>
      <c r="G34" s="151">
        <f>G33*10%</f>
        <v>0</v>
      </c>
      <c r="H34" s="152"/>
      <c r="I34" s="152"/>
      <c r="J34" s="153"/>
    </row>
    <row r="35" spans="1:13" s="107" customFormat="1">
      <c r="A35" s="154"/>
      <c r="B35" s="155" t="s">
        <v>58</v>
      </c>
      <c r="C35" s="319"/>
      <c r="D35" s="320"/>
      <c r="E35" s="320"/>
      <c r="F35" s="321"/>
      <c r="G35" s="156">
        <f>SUM(G33:G34)</f>
        <v>0</v>
      </c>
      <c r="H35" s="157"/>
      <c r="I35" s="158">
        <f>SUM(I32:I34)</f>
        <v>0</v>
      </c>
      <c r="J35" s="159">
        <f>I35+G35</f>
        <v>0</v>
      </c>
    </row>
    <row r="36" spans="1:13" s="114" customFormat="1">
      <c r="A36" s="309" t="s">
        <v>65</v>
      </c>
      <c r="B36" s="310"/>
      <c r="C36" s="290"/>
      <c r="D36" s="291"/>
      <c r="E36" s="291"/>
      <c r="F36" s="291"/>
      <c r="G36" s="291"/>
      <c r="H36" s="291"/>
      <c r="I36" s="292"/>
      <c r="J36" s="160">
        <v>3600</v>
      </c>
      <c r="K36" s="161"/>
      <c r="L36" s="172"/>
      <c r="M36" s="173"/>
    </row>
    <row r="37" spans="1:13" s="163" customFormat="1">
      <c r="A37" s="293" t="s">
        <v>59</v>
      </c>
      <c r="B37" s="294"/>
      <c r="C37" s="295"/>
      <c r="D37" s="296"/>
      <c r="E37" s="296"/>
      <c r="F37" s="296"/>
      <c r="G37" s="296"/>
      <c r="H37" s="296"/>
      <c r="I37" s="297"/>
      <c r="J37" s="162">
        <v>0</v>
      </c>
    </row>
    <row r="38" spans="1:13" s="107" customFormat="1">
      <c r="A38" s="268" t="s">
        <v>60</v>
      </c>
      <c r="B38" s="322"/>
      <c r="C38" s="164" t="s">
        <v>8</v>
      </c>
      <c r="D38" s="165" t="s">
        <v>8</v>
      </c>
      <c r="E38" s="166" t="s">
        <v>61</v>
      </c>
      <c r="F38" s="270">
        <v>0</v>
      </c>
      <c r="G38" s="271"/>
      <c r="H38" s="272">
        <v>0</v>
      </c>
      <c r="I38" s="273"/>
      <c r="J38" s="274"/>
    </row>
    <row r="39" spans="1:13" s="163" customFormat="1">
      <c r="A39" s="254" t="s">
        <v>62</v>
      </c>
      <c r="B39" s="255"/>
      <c r="C39" s="167" t="s">
        <v>6</v>
      </c>
      <c r="D39" s="168">
        <v>1</v>
      </c>
      <c r="E39" s="169" t="s">
        <v>7</v>
      </c>
      <c r="F39" s="256">
        <v>0</v>
      </c>
      <c r="G39" s="257"/>
      <c r="H39" s="257"/>
      <c r="I39" s="257"/>
      <c r="J39" s="258"/>
    </row>
    <row r="40" spans="1:13" s="163" customFormat="1" ht="24.75" thickBot="1">
      <c r="A40" s="259" t="s">
        <v>63</v>
      </c>
      <c r="B40" s="260"/>
      <c r="C40" s="261">
        <f>(J36+J37+H38+F39)</f>
        <v>3600</v>
      </c>
      <c r="D40" s="262"/>
      <c r="E40" s="262"/>
      <c r="F40" s="262"/>
      <c r="G40" s="262"/>
      <c r="H40" s="262"/>
      <c r="I40" s="262"/>
      <c r="J40" s="263"/>
      <c r="L40" s="174"/>
    </row>
    <row r="41" spans="1:13" s="163" customFormat="1" ht="24.75" thickBot="1">
      <c r="A41" s="264" t="str">
        <f>BAHTTEXT(C40)</f>
        <v>สามพันหกร้อยบาทถ้วน</v>
      </c>
      <c r="B41" s="265"/>
      <c r="C41" s="265"/>
      <c r="D41" s="265"/>
      <c r="E41" s="265"/>
      <c r="F41" s="265"/>
      <c r="G41" s="265"/>
      <c r="H41" s="265"/>
      <c r="I41" s="265"/>
      <c r="J41" s="266"/>
    </row>
    <row r="42" spans="1:13" s="163" customFormat="1">
      <c r="A42" s="186"/>
      <c r="B42" s="186"/>
      <c r="C42" s="186"/>
      <c r="D42" s="186"/>
      <c r="E42" s="186"/>
      <c r="F42" s="186"/>
      <c r="G42" s="186"/>
      <c r="H42" s="186"/>
      <c r="I42" s="186"/>
      <c r="J42" s="186"/>
    </row>
    <row r="44" spans="1:13" s="171" customFormat="1">
      <c r="A44" s="267" t="s">
        <v>64</v>
      </c>
      <c r="B44" s="267"/>
      <c r="C44" s="170"/>
      <c r="D44" s="170"/>
      <c r="E44" s="253" t="s">
        <v>85</v>
      </c>
      <c r="F44" s="253"/>
      <c r="G44" s="253"/>
      <c r="H44" s="253"/>
      <c r="I44" s="253"/>
      <c r="J44" s="253"/>
      <c r="K44" s="170"/>
    </row>
    <row r="45" spans="1:13" s="171" customFormat="1">
      <c r="A45" s="253" t="s">
        <v>79</v>
      </c>
      <c r="B45" s="253"/>
      <c r="C45" s="170"/>
      <c r="D45" s="170"/>
      <c r="E45" s="253" t="s">
        <v>129</v>
      </c>
      <c r="F45" s="253"/>
      <c r="G45" s="253"/>
      <c r="H45" s="253"/>
      <c r="I45" s="253"/>
      <c r="J45" s="253"/>
      <c r="K45" s="170"/>
    </row>
    <row r="46" spans="1:13" s="171" customFormat="1">
      <c r="A46" s="253" t="s">
        <v>109</v>
      </c>
      <c r="B46" s="253"/>
      <c r="C46" s="170"/>
      <c r="D46" s="170"/>
      <c r="E46" s="253" t="s">
        <v>132</v>
      </c>
      <c r="F46" s="253"/>
      <c r="G46" s="253"/>
      <c r="H46" s="253"/>
      <c r="I46" s="253"/>
      <c r="J46" s="253"/>
      <c r="K46" s="170"/>
    </row>
    <row r="47" spans="1:13">
      <c r="E47" s="253" t="s">
        <v>100</v>
      </c>
      <c r="F47" s="253"/>
      <c r="G47" s="253"/>
      <c r="H47" s="253"/>
      <c r="I47" s="253"/>
      <c r="J47" s="253"/>
    </row>
  </sheetData>
  <mergeCells count="42">
    <mergeCell ref="A1:J1"/>
    <mergeCell ref="A2:B2"/>
    <mergeCell ref="C2:G2"/>
    <mergeCell ref="H2:J2"/>
    <mergeCell ref="A3:J3"/>
    <mergeCell ref="C32:I32"/>
    <mergeCell ref="F4:G4"/>
    <mergeCell ref="H4:I4"/>
    <mergeCell ref="J4:J5"/>
    <mergeCell ref="A6:J6"/>
    <mergeCell ref="C10:F10"/>
    <mergeCell ref="A11:J11"/>
    <mergeCell ref="A4:A5"/>
    <mergeCell ref="B4:B5"/>
    <mergeCell ref="C4:C5"/>
    <mergeCell ref="D4:D5"/>
    <mergeCell ref="E4:E5"/>
    <mergeCell ref="C25:F25"/>
    <mergeCell ref="A26:J26"/>
    <mergeCell ref="C27:I27"/>
    <mergeCell ref="C30:F30"/>
    <mergeCell ref="A31:J31"/>
    <mergeCell ref="A44:B44"/>
    <mergeCell ref="E44:J44"/>
    <mergeCell ref="C35:F35"/>
    <mergeCell ref="A36:B36"/>
    <mergeCell ref="C36:I36"/>
    <mergeCell ref="A37:B37"/>
    <mergeCell ref="C37:I37"/>
    <mergeCell ref="A38:B38"/>
    <mergeCell ref="F38:G38"/>
    <mergeCell ref="H38:J38"/>
    <mergeCell ref="A39:B39"/>
    <mergeCell ref="F39:J39"/>
    <mergeCell ref="A40:B40"/>
    <mergeCell ref="C40:J40"/>
    <mergeCell ref="A41:J41"/>
    <mergeCell ref="A45:B45"/>
    <mergeCell ref="E45:J45"/>
    <mergeCell ref="A46:B46"/>
    <mergeCell ref="E46:J46"/>
    <mergeCell ref="E47:J47"/>
  </mergeCells>
  <conditionalFormatting sqref="F39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8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ageMargins left="0.78740157480314965" right="3.937007874015748E-2" top="0.55118110236220474" bottom="3.937007874015748E-2" header="0.31496062992125984" footer="0.31496062992125984"/>
  <pageSetup paperSize="9" scale="68" orientation="portrait" r:id="rId1"/>
  <colBreaks count="1" manualBreakCount="1">
    <brk id="10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00B050"/>
  </sheetPr>
  <dimension ref="A1:M46"/>
  <sheetViews>
    <sheetView topLeftCell="A7" zoomScale="130" zoomScaleNormal="130" workbookViewId="0">
      <selection activeCell="K9" sqref="K9"/>
    </sheetView>
  </sheetViews>
  <sheetFormatPr defaultColWidth="9" defaultRowHeight="24"/>
  <cols>
    <col min="1" max="1" width="5.75" style="99" customWidth="1"/>
    <col min="2" max="2" width="44.62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1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71" customFormat="1">
      <c r="A2" s="253" t="s">
        <v>34</v>
      </c>
      <c r="B2" s="253"/>
      <c r="C2" s="253" t="s">
        <v>118</v>
      </c>
      <c r="D2" s="253"/>
      <c r="E2" s="253"/>
      <c r="F2" s="253"/>
      <c r="G2" s="253"/>
      <c r="H2" s="299" t="s">
        <v>101</v>
      </c>
      <c r="I2" s="299"/>
      <c r="J2" s="299"/>
      <c r="K2" s="96"/>
    </row>
    <row r="3" spans="1:11" s="171" customFormat="1">
      <c r="A3" s="300" t="s">
        <v>138</v>
      </c>
      <c r="B3" s="300"/>
      <c r="C3" s="300"/>
      <c r="D3" s="300"/>
      <c r="E3" s="300"/>
      <c r="F3" s="300"/>
      <c r="G3" s="300"/>
      <c r="H3" s="300"/>
      <c r="I3" s="300"/>
      <c r="J3" s="300"/>
      <c r="K3" s="95"/>
    </row>
    <row r="4" spans="1:11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1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1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1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04">
        <v>986</v>
      </c>
      <c r="G7" s="105">
        <f>D7*F7</f>
        <v>986</v>
      </c>
      <c r="H7" s="105">
        <v>100</v>
      </c>
      <c r="I7" s="105">
        <f>D7*H7</f>
        <v>100</v>
      </c>
      <c r="J7" s="106"/>
    </row>
    <row r="8" spans="1:11" s="114" customFormat="1">
      <c r="A8" s="108"/>
      <c r="B8" s="109" t="s">
        <v>50</v>
      </c>
      <c r="C8" s="109"/>
      <c r="D8" s="109"/>
      <c r="E8" s="109"/>
      <c r="F8" s="110"/>
      <c r="G8" s="111">
        <f>SUM(G7:G7)</f>
        <v>986</v>
      </c>
      <c r="H8" s="112"/>
      <c r="I8" s="112"/>
      <c r="J8" s="113"/>
    </row>
    <row r="9" spans="1:11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</row>
    <row r="10" spans="1:11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986</v>
      </c>
      <c r="H10" s="124"/>
      <c r="I10" s="123">
        <f>SUM(I7:I9)</f>
        <v>100</v>
      </c>
      <c r="J10" s="125"/>
    </row>
    <row r="11" spans="1:11">
      <c r="A11" s="316" t="s">
        <v>52</v>
      </c>
      <c r="B11" s="317"/>
      <c r="C11" s="317"/>
      <c r="D11" s="317"/>
      <c r="E11" s="317"/>
      <c r="F11" s="317"/>
      <c r="G11" s="317"/>
      <c r="H11" s="317"/>
      <c r="I11" s="317"/>
      <c r="J11" s="318"/>
    </row>
    <row r="12" spans="1:11" s="107" customFormat="1">
      <c r="A12" s="175"/>
      <c r="B12" s="176" t="s">
        <v>9</v>
      </c>
      <c r="C12" s="177">
        <v>20</v>
      </c>
      <c r="D12" s="137">
        <v>5</v>
      </c>
      <c r="E12" s="177" t="s">
        <v>10</v>
      </c>
      <c r="F12" s="137">
        <v>43</v>
      </c>
      <c r="G12" s="178">
        <f t="shared" ref="G12:G18" si="0">F12*D12</f>
        <v>215</v>
      </c>
      <c r="H12" s="179">
        <v>8</v>
      </c>
      <c r="I12" s="180">
        <f>D12*H12</f>
        <v>40</v>
      </c>
      <c r="J12" s="181"/>
    </row>
    <row r="13" spans="1:11" s="107" customFormat="1">
      <c r="A13" s="126"/>
      <c r="B13" s="127" t="s">
        <v>98</v>
      </c>
      <c r="C13" s="128" t="s">
        <v>39</v>
      </c>
      <c r="D13" s="129">
        <v>1</v>
      </c>
      <c r="E13" s="128" t="s">
        <v>13</v>
      </c>
      <c r="F13" s="182">
        <v>2100</v>
      </c>
      <c r="G13" s="130">
        <f t="shared" si="0"/>
        <v>2100</v>
      </c>
      <c r="H13" s="183">
        <v>840</v>
      </c>
      <c r="I13" s="105">
        <f>D13*H13</f>
        <v>840</v>
      </c>
      <c r="J13" s="132"/>
    </row>
    <row r="14" spans="1:11" s="107" customFormat="1">
      <c r="A14" s="126"/>
      <c r="B14" s="127" t="s">
        <v>23</v>
      </c>
      <c r="C14" s="128" t="s">
        <v>24</v>
      </c>
      <c r="D14" s="129">
        <v>1</v>
      </c>
      <c r="E14" s="128" t="s">
        <v>15</v>
      </c>
      <c r="F14" s="129">
        <v>85</v>
      </c>
      <c r="G14" s="130">
        <f t="shared" si="0"/>
        <v>85</v>
      </c>
      <c r="H14" s="133">
        <v>0</v>
      </c>
      <c r="I14" s="133">
        <v>0</v>
      </c>
      <c r="J14" s="132"/>
    </row>
    <row r="15" spans="1:11" s="107" customFormat="1">
      <c r="A15" s="126"/>
      <c r="B15" s="127" t="s">
        <v>16</v>
      </c>
      <c r="C15" s="128">
        <v>20</v>
      </c>
      <c r="D15" s="129">
        <v>2</v>
      </c>
      <c r="E15" s="128" t="s">
        <v>15</v>
      </c>
      <c r="F15" s="129">
        <v>74</v>
      </c>
      <c r="G15" s="135">
        <f t="shared" si="0"/>
        <v>148</v>
      </c>
      <c r="H15" s="133">
        <v>0</v>
      </c>
      <c r="I15" s="133">
        <v>0</v>
      </c>
      <c r="J15" s="132"/>
    </row>
    <row r="16" spans="1:11" s="107" customFormat="1">
      <c r="A16" s="126"/>
      <c r="B16" s="127" t="s">
        <v>14</v>
      </c>
      <c r="C16" s="128" t="s">
        <v>20</v>
      </c>
      <c r="D16" s="129">
        <v>2</v>
      </c>
      <c r="E16" s="128" t="s">
        <v>15</v>
      </c>
      <c r="F16" s="129">
        <v>189</v>
      </c>
      <c r="G16" s="135">
        <f t="shared" si="0"/>
        <v>378</v>
      </c>
      <c r="H16" s="133">
        <v>0</v>
      </c>
      <c r="I16" s="133">
        <v>0</v>
      </c>
      <c r="J16" s="132"/>
    </row>
    <row r="17" spans="1:10" s="107" customFormat="1">
      <c r="A17" s="126"/>
      <c r="B17" s="127" t="s">
        <v>19</v>
      </c>
      <c r="C17" s="128" t="s">
        <v>6</v>
      </c>
      <c r="D17" s="129">
        <v>1</v>
      </c>
      <c r="E17" s="128" t="s">
        <v>15</v>
      </c>
      <c r="F17" s="129">
        <v>68</v>
      </c>
      <c r="G17" s="130">
        <f t="shared" si="0"/>
        <v>68</v>
      </c>
      <c r="H17" s="134">
        <v>0</v>
      </c>
      <c r="I17" s="133">
        <v>0</v>
      </c>
      <c r="J17" s="132"/>
    </row>
    <row r="18" spans="1:10" s="107" customFormat="1">
      <c r="A18" s="126"/>
      <c r="B18" s="127" t="s">
        <v>35</v>
      </c>
      <c r="C18" s="128" t="s">
        <v>20</v>
      </c>
      <c r="D18" s="129">
        <v>1</v>
      </c>
      <c r="E18" s="128" t="s">
        <v>15</v>
      </c>
      <c r="F18" s="129">
        <v>81</v>
      </c>
      <c r="G18" s="130">
        <f t="shared" si="0"/>
        <v>81</v>
      </c>
      <c r="H18" s="133">
        <v>0</v>
      </c>
      <c r="I18" s="133">
        <v>0</v>
      </c>
      <c r="J18" s="132"/>
    </row>
    <row r="19" spans="1:10" s="107" customFormat="1">
      <c r="A19" s="126"/>
      <c r="B19" s="127" t="s">
        <v>17</v>
      </c>
      <c r="C19" s="128"/>
      <c r="D19" s="129">
        <v>1</v>
      </c>
      <c r="E19" s="128" t="s">
        <v>18</v>
      </c>
      <c r="F19" s="129">
        <v>12</v>
      </c>
      <c r="G19" s="130">
        <f>F19*D19</f>
        <v>12</v>
      </c>
      <c r="H19" s="133">
        <v>0</v>
      </c>
      <c r="I19" s="133">
        <v>0</v>
      </c>
      <c r="J19" s="132"/>
    </row>
    <row r="20" spans="1:10" s="107" customFormat="1">
      <c r="A20" s="126"/>
      <c r="B20" s="127" t="s">
        <v>36</v>
      </c>
      <c r="C20" s="128"/>
      <c r="D20" s="129">
        <v>1</v>
      </c>
      <c r="E20" s="128" t="s">
        <v>13</v>
      </c>
      <c r="F20" s="129">
        <v>3</v>
      </c>
      <c r="G20" s="130">
        <f>F20*D20</f>
        <v>3</v>
      </c>
      <c r="H20" s="133">
        <v>0</v>
      </c>
      <c r="I20" s="133">
        <v>0</v>
      </c>
      <c r="J20" s="132"/>
    </row>
    <row r="21" spans="1:10" s="107" customFormat="1">
      <c r="A21" s="126"/>
      <c r="B21" s="127" t="s">
        <v>38</v>
      </c>
      <c r="C21" s="128"/>
      <c r="D21" s="189" t="s">
        <v>137</v>
      </c>
      <c r="E21" s="128" t="s">
        <v>37</v>
      </c>
      <c r="F21" s="129">
        <v>320</v>
      </c>
      <c r="G21" s="130">
        <f>F21*D21</f>
        <v>80</v>
      </c>
      <c r="H21" s="134">
        <v>0</v>
      </c>
      <c r="I21" s="133">
        <v>0</v>
      </c>
      <c r="J21" s="132"/>
    </row>
    <row r="22" spans="1:10" s="114" customFormat="1">
      <c r="A22" s="108"/>
      <c r="B22" s="109" t="s">
        <v>50</v>
      </c>
      <c r="C22" s="109"/>
      <c r="D22" s="109"/>
      <c r="E22" s="109"/>
      <c r="F22" s="110"/>
      <c r="G22" s="111">
        <f>SUM(G12:G21)</f>
        <v>3170</v>
      </c>
      <c r="H22" s="185"/>
      <c r="I22" s="133"/>
      <c r="J22" s="113"/>
    </row>
    <row r="23" spans="1:10" s="114" customFormat="1">
      <c r="A23" s="115"/>
      <c r="B23" s="116" t="s">
        <v>51</v>
      </c>
      <c r="C23" s="116"/>
      <c r="D23" s="116"/>
      <c r="E23" s="116"/>
      <c r="F23" s="117"/>
      <c r="G23" s="118">
        <v>0</v>
      </c>
      <c r="H23" s="119"/>
      <c r="I23" s="136"/>
      <c r="J23" s="120"/>
    </row>
    <row r="24" spans="1:10" s="114" customFormat="1">
      <c r="A24" s="121"/>
      <c r="B24" s="122" t="s">
        <v>54</v>
      </c>
      <c r="C24" s="275"/>
      <c r="D24" s="276"/>
      <c r="E24" s="276"/>
      <c r="F24" s="277"/>
      <c r="G24" s="123">
        <f>SUM(G22:G23)</f>
        <v>3170</v>
      </c>
      <c r="H24" s="124"/>
      <c r="I24" s="123">
        <f>SUM(I12:I23)</f>
        <v>880</v>
      </c>
      <c r="J24" s="125"/>
    </row>
    <row r="25" spans="1:10" s="107" customFormat="1">
      <c r="A25" s="282" t="s">
        <v>55</v>
      </c>
      <c r="B25" s="283"/>
      <c r="C25" s="283"/>
      <c r="D25" s="283"/>
      <c r="E25" s="283"/>
      <c r="F25" s="283"/>
      <c r="G25" s="283"/>
      <c r="H25" s="283"/>
      <c r="I25" s="283"/>
      <c r="J25" s="284"/>
    </row>
    <row r="26" spans="1:10" s="107" customFormat="1">
      <c r="A26" s="137"/>
      <c r="B26" s="138"/>
      <c r="C26" s="313" t="s">
        <v>53</v>
      </c>
      <c r="D26" s="314"/>
      <c r="E26" s="314"/>
      <c r="F26" s="314"/>
      <c r="G26" s="314"/>
      <c r="H26" s="314"/>
      <c r="I26" s="315"/>
      <c r="J26" s="139"/>
    </row>
    <row r="27" spans="1:10" s="114" customFormat="1">
      <c r="A27" s="108"/>
      <c r="B27" s="109" t="s">
        <v>50</v>
      </c>
      <c r="C27" s="109"/>
      <c r="D27" s="109"/>
      <c r="E27" s="109"/>
      <c r="F27" s="110"/>
      <c r="G27" s="140">
        <f>SUM(G26:G26)</f>
        <v>0</v>
      </c>
      <c r="H27" s="112"/>
      <c r="I27" s="112"/>
      <c r="J27" s="113"/>
    </row>
    <row r="28" spans="1:10" s="114" customFormat="1">
      <c r="A28" s="115"/>
      <c r="B28" s="116" t="s">
        <v>51</v>
      </c>
      <c r="C28" s="116"/>
      <c r="D28" s="116"/>
      <c r="E28" s="116"/>
      <c r="F28" s="117"/>
      <c r="G28" s="118">
        <f>G27*10%</f>
        <v>0</v>
      </c>
      <c r="H28" s="119"/>
      <c r="I28" s="119"/>
      <c r="J28" s="120"/>
    </row>
    <row r="29" spans="1:10" s="114" customFormat="1">
      <c r="A29" s="141"/>
      <c r="B29" s="122" t="s">
        <v>56</v>
      </c>
      <c r="C29" s="275"/>
      <c r="D29" s="276"/>
      <c r="E29" s="276"/>
      <c r="F29" s="277"/>
      <c r="G29" s="123">
        <f>SUM(G27:G28)</f>
        <v>0</v>
      </c>
      <c r="H29" s="124"/>
      <c r="I29" s="142">
        <f>SUM(I26:I28)</f>
        <v>0</v>
      </c>
      <c r="J29" s="143">
        <f>I29+G29</f>
        <v>0</v>
      </c>
    </row>
    <row r="30" spans="1:10" s="107" customFormat="1">
      <c r="A30" s="282" t="s">
        <v>57</v>
      </c>
      <c r="B30" s="283"/>
      <c r="C30" s="283"/>
      <c r="D30" s="283"/>
      <c r="E30" s="283"/>
      <c r="F30" s="283"/>
      <c r="G30" s="283"/>
      <c r="H30" s="283"/>
      <c r="I30" s="283"/>
      <c r="J30" s="284"/>
    </row>
    <row r="31" spans="1:10" s="107" customFormat="1">
      <c r="A31" s="137"/>
      <c r="B31" s="138"/>
      <c r="C31" s="313" t="s">
        <v>53</v>
      </c>
      <c r="D31" s="314"/>
      <c r="E31" s="314"/>
      <c r="F31" s="314"/>
      <c r="G31" s="314"/>
      <c r="H31" s="314"/>
      <c r="I31" s="315"/>
      <c r="J31" s="139"/>
    </row>
    <row r="32" spans="1:10" s="107" customFormat="1">
      <c r="A32" s="144"/>
      <c r="B32" s="145" t="s">
        <v>50</v>
      </c>
      <c r="C32" s="145"/>
      <c r="D32" s="145"/>
      <c r="E32" s="145"/>
      <c r="F32" s="130"/>
      <c r="G32" s="111">
        <f>SUM(G31:G31)</f>
        <v>0</v>
      </c>
      <c r="H32" s="146"/>
      <c r="I32" s="146"/>
      <c r="J32" s="147"/>
    </row>
    <row r="33" spans="1:13" s="107" customFormat="1">
      <c r="A33" s="148"/>
      <c r="B33" s="149" t="s">
        <v>51</v>
      </c>
      <c r="C33" s="149"/>
      <c r="D33" s="149"/>
      <c r="E33" s="149"/>
      <c r="F33" s="150"/>
      <c r="G33" s="151">
        <f>G32*10%</f>
        <v>0</v>
      </c>
      <c r="H33" s="152"/>
      <c r="I33" s="152"/>
      <c r="J33" s="153"/>
    </row>
    <row r="34" spans="1:13" s="107" customFormat="1">
      <c r="A34" s="154"/>
      <c r="B34" s="155" t="s">
        <v>58</v>
      </c>
      <c r="C34" s="319"/>
      <c r="D34" s="320"/>
      <c r="E34" s="320"/>
      <c r="F34" s="321"/>
      <c r="G34" s="156">
        <f>SUM(G32:G33)</f>
        <v>0</v>
      </c>
      <c r="H34" s="157"/>
      <c r="I34" s="158">
        <f>SUM(I31:I33)</f>
        <v>0</v>
      </c>
      <c r="J34" s="159">
        <f>I34+G34</f>
        <v>0</v>
      </c>
    </row>
    <row r="35" spans="1:13" s="114" customFormat="1">
      <c r="A35" s="288" t="s">
        <v>65</v>
      </c>
      <c r="B35" s="289"/>
      <c r="C35" s="290"/>
      <c r="D35" s="291"/>
      <c r="E35" s="291"/>
      <c r="F35" s="291"/>
      <c r="G35" s="291"/>
      <c r="H35" s="291"/>
      <c r="I35" s="292"/>
      <c r="J35" s="160">
        <v>3600</v>
      </c>
      <c r="K35" s="161"/>
      <c r="L35" s="172"/>
      <c r="M35" s="173"/>
    </row>
    <row r="36" spans="1:13" s="163" customFormat="1">
      <c r="A36" s="293" t="s">
        <v>59</v>
      </c>
      <c r="B36" s="294"/>
      <c r="C36" s="295"/>
      <c r="D36" s="296"/>
      <c r="E36" s="296"/>
      <c r="F36" s="296"/>
      <c r="G36" s="296"/>
      <c r="H36" s="296"/>
      <c r="I36" s="297"/>
      <c r="J36" s="162">
        <v>0</v>
      </c>
    </row>
    <row r="37" spans="1:13" s="107" customFormat="1">
      <c r="A37" s="268" t="s">
        <v>60</v>
      </c>
      <c r="B37" s="322"/>
      <c r="C37" s="164" t="s">
        <v>8</v>
      </c>
      <c r="D37" s="165" t="s">
        <v>8</v>
      </c>
      <c r="E37" s="166" t="s">
        <v>61</v>
      </c>
      <c r="F37" s="270">
        <v>0</v>
      </c>
      <c r="G37" s="271"/>
      <c r="H37" s="272">
        <v>0</v>
      </c>
      <c r="I37" s="273"/>
      <c r="J37" s="274"/>
    </row>
    <row r="38" spans="1:13" s="163" customFormat="1">
      <c r="A38" s="254" t="s">
        <v>62</v>
      </c>
      <c r="B38" s="255"/>
      <c r="C38" s="167" t="s">
        <v>6</v>
      </c>
      <c r="D38" s="168">
        <v>1</v>
      </c>
      <c r="E38" s="169" t="s">
        <v>7</v>
      </c>
      <c r="F38" s="256">
        <v>5350</v>
      </c>
      <c r="G38" s="257"/>
      <c r="H38" s="257"/>
      <c r="I38" s="257"/>
      <c r="J38" s="258"/>
    </row>
    <row r="39" spans="1:13" s="163" customFormat="1" ht="24.75" thickBot="1">
      <c r="A39" s="259" t="s">
        <v>63</v>
      </c>
      <c r="B39" s="260"/>
      <c r="C39" s="261">
        <f>(J35+J36+H37+F38)</f>
        <v>8950</v>
      </c>
      <c r="D39" s="262"/>
      <c r="E39" s="262"/>
      <c r="F39" s="262"/>
      <c r="G39" s="262"/>
      <c r="H39" s="262"/>
      <c r="I39" s="262"/>
      <c r="J39" s="263"/>
      <c r="L39" s="174"/>
    </row>
    <row r="40" spans="1:13" s="163" customFormat="1" ht="24.75" thickBot="1">
      <c r="A40" s="264" t="str">
        <f>BAHTTEXT(C39)</f>
        <v>แปดพันเก้าร้อยห้าสิบบาทถ้วน</v>
      </c>
      <c r="B40" s="265"/>
      <c r="C40" s="265"/>
      <c r="D40" s="265"/>
      <c r="E40" s="265"/>
      <c r="F40" s="265"/>
      <c r="G40" s="265"/>
      <c r="H40" s="265"/>
      <c r="I40" s="265"/>
      <c r="J40" s="266"/>
    </row>
    <row r="41" spans="1:13" s="163" customFormat="1">
      <c r="A41" s="186"/>
      <c r="B41" s="186"/>
      <c r="C41" s="186"/>
      <c r="D41" s="186"/>
      <c r="E41" s="186"/>
      <c r="F41" s="186"/>
      <c r="G41" s="186"/>
      <c r="H41" s="186"/>
      <c r="I41" s="186"/>
      <c r="J41" s="186"/>
    </row>
    <row r="43" spans="1:13" s="171" customFormat="1">
      <c r="A43" s="267" t="s">
        <v>64</v>
      </c>
      <c r="B43" s="267"/>
      <c r="C43" s="170"/>
      <c r="D43" s="170"/>
      <c r="E43" s="253" t="s">
        <v>128</v>
      </c>
      <c r="F43" s="253"/>
      <c r="G43" s="253"/>
      <c r="H43" s="253"/>
      <c r="I43" s="253"/>
      <c r="J43" s="253"/>
      <c r="K43" s="170"/>
    </row>
    <row r="44" spans="1:13" s="171" customFormat="1">
      <c r="A44" s="253" t="s">
        <v>79</v>
      </c>
      <c r="B44" s="253"/>
      <c r="C44" s="170"/>
      <c r="D44" s="170"/>
      <c r="E44" s="253"/>
      <c r="F44" s="253"/>
      <c r="G44" s="253"/>
      <c r="H44" s="253"/>
      <c r="I44" s="253"/>
      <c r="J44" s="253"/>
      <c r="K44" s="170"/>
    </row>
    <row r="45" spans="1:13" s="171" customFormat="1">
      <c r="A45" s="253" t="s">
        <v>109</v>
      </c>
      <c r="B45" s="253"/>
      <c r="C45" s="170"/>
      <c r="D45" s="170"/>
      <c r="E45" s="253"/>
      <c r="F45" s="253"/>
      <c r="G45" s="253"/>
      <c r="H45" s="253"/>
      <c r="I45" s="253"/>
      <c r="J45" s="253"/>
      <c r="K45" s="170"/>
    </row>
    <row r="46" spans="1:13">
      <c r="E46" s="253"/>
      <c r="F46" s="253"/>
      <c r="G46" s="253"/>
      <c r="H46" s="253"/>
      <c r="I46" s="253"/>
      <c r="J46" s="253"/>
    </row>
  </sheetData>
  <mergeCells count="42">
    <mergeCell ref="A1:J1"/>
    <mergeCell ref="A2:B2"/>
    <mergeCell ref="C2:G2"/>
    <mergeCell ref="H2:J2"/>
    <mergeCell ref="A3:J3"/>
    <mergeCell ref="C31:I31"/>
    <mergeCell ref="F4:G4"/>
    <mergeCell ref="H4:I4"/>
    <mergeCell ref="J4:J5"/>
    <mergeCell ref="A6:J6"/>
    <mergeCell ref="C10:F10"/>
    <mergeCell ref="A11:J11"/>
    <mergeCell ref="A4:A5"/>
    <mergeCell ref="B4:B5"/>
    <mergeCell ref="C4:C5"/>
    <mergeCell ref="D4:D5"/>
    <mergeCell ref="E4:E5"/>
    <mergeCell ref="C24:F24"/>
    <mergeCell ref="A25:J25"/>
    <mergeCell ref="C26:I26"/>
    <mergeCell ref="C29:F29"/>
    <mergeCell ref="A30:J30"/>
    <mergeCell ref="A43:B43"/>
    <mergeCell ref="E43:J43"/>
    <mergeCell ref="C34:F34"/>
    <mergeCell ref="A35:B35"/>
    <mergeCell ref="C35:I35"/>
    <mergeCell ref="A36:B36"/>
    <mergeCell ref="C36:I36"/>
    <mergeCell ref="A37:B37"/>
    <mergeCell ref="F37:G37"/>
    <mergeCell ref="H37:J37"/>
    <mergeCell ref="A38:B38"/>
    <mergeCell ref="F38:J38"/>
    <mergeCell ref="A39:B39"/>
    <mergeCell ref="C39:J39"/>
    <mergeCell ref="A40:J40"/>
    <mergeCell ref="A44:B44"/>
    <mergeCell ref="E44:J44"/>
    <mergeCell ref="A45:B45"/>
    <mergeCell ref="E45:J45"/>
    <mergeCell ref="E46:J46"/>
  </mergeCells>
  <conditionalFormatting sqref="F38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7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ageMargins left="0.78740157480314965" right="3.937007874015748E-2" top="0.55118110236220474" bottom="3.937007874015748E-2" header="0.31496062992125984" footer="0.31496062992125984"/>
  <pageSetup paperSize="9" scale="68" orientation="portrait" r:id="rId1"/>
  <colBreaks count="1" manualBreakCount="1">
    <brk id="1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50"/>
  </sheetPr>
  <dimension ref="A1:M46"/>
  <sheetViews>
    <sheetView topLeftCell="A7" zoomScale="130" zoomScaleNormal="130" workbookViewId="0">
      <selection activeCell="K14" sqref="K14"/>
    </sheetView>
  </sheetViews>
  <sheetFormatPr defaultColWidth="9" defaultRowHeight="24"/>
  <cols>
    <col min="1" max="1" width="5.75" style="99" customWidth="1"/>
    <col min="2" max="2" width="44.625" style="99" customWidth="1"/>
    <col min="3" max="3" width="8.625" style="99" customWidth="1"/>
    <col min="4" max="6" width="7.625" style="99" customWidth="1"/>
    <col min="7" max="7" width="8.625" style="99" customWidth="1"/>
    <col min="8" max="8" width="7.625" style="99" customWidth="1"/>
    <col min="9" max="9" width="8.625" style="99" customWidth="1"/>
    <col min="10" max="10" width="9.625" style="99" customWidth="1"/>
    <col min="11" max="16384" width="9" style="99"/>
  </cols>
  <sheetData>
    <row r="1" spans="1:11" s="171" customFormat="1" ht="27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94"/>
    </row>
    <row r="2" spans="1:11" s="171" customFormat="1">
      <c r="A2" s="253" t="s">
        <v>34</v>
      </c>
      <c r="B2" s="253"/>
      <c r="C2" s="253" t="s">
        <v>118</v>
      </c>
      <c r="D2" s="253"/>
      <c r="E2" s="253"/>
      <c r="F2" s="253"/>
      <c r="G2" s="253"/>
      <c r="H2" s="299" t="s">
        <v>101</v>
      </c>
      <c r="I2" s="299"/>
      <c r="J2" s="299"/>
      <c r="K2" s="96"/>
    </row>
    <row r="3" spans="1:11" s="171" customFormat="1">
      <c r="A3" s="300" t="s">
        <v>127</v>
      </c>
      <c r="B3" s="300"/>
      <c r="C3" s="300"/>
      <c r="D3" s="300"/>
      <c r="E3" s="300"/>
      <c r="F3" s="300"/>
      <c r="G3" s="300"/>
      <c r="H3" s="300"/>
      <c r="I3" s="300"/>
      <c r="J3" s="300"/>
      <c r="K3" s="95"/>
    </row>
    <row r="4" spans="1:11" s="97" customFormat="1">
      <c r="A4" s="301" t="s">
        <v>43</v>
      </c>
      <c r="B4" s="301" t="s">
        <v>1</v>
      </c>
      <c r="C4" s="301" t="s">
        <v>2</v>
      </c>
      <c r="D4" s="301" t="s">
        <v>3</v>
      </c>
      <c r="E4" s="301" t="s">
        <v>4</v>
      </c>
      <c r="F4" s="304" t="s">
        <v>44</v>
      </c>
      <c r="G4" s="305"/>
      <c r="H4" s="304" t="s">
        <v>45</v>
      </c>
      <c r="I4" s="305"/>
      <c r="J4" s="306" t="s">
        <v>5</v>
      </c>
    </row>
    <row r="5" spans="1:11" s="97" customFormat="1">
      <c r="A5" s="302"/>
      <c r="B5" s="302"/>
      <c r="C5" s="303"/>
      <c r="D5" s="303"/>
      <c r="E5" s="303"/>
      <c r="F5" s="98" t="s">
        <v>46</v>
      </c>
      <c r="G5" s="98" t="s">
        <v>47</v>
      </c>
      <c r="H5" s="98" t="s">
        <v>46</v>
      </c>
      <c r="I5" s="98" t="s">
        <v>47</v>
      </c>
      <c r="J5" s="307"/>
    </row>
    <row r="6" spans="1:11">
      <c r="A6" s="282" t="s">
        <v>48</v>
      </c>
      <c r="B6" s="283"/>
      <c r="C6" s="283"/>
      <c r="D6" s="283"/>
      <c r="E6" s="283"/>
      <c r="F6" s="283"/>
      <c r="G6" s="283"/>
      <c r="H6" s="283"/>
      <c r="I6" s="283"/>
      <c r="J6" s="284"/>
    </row>
    <row r="7" spans="1:11" s="107" customFormat="1">
      <c r="A7" s="100"/>
      <c r="B7" s="101" t="s">
        <v>49</v>
      </c>
      <c r="C7" s="102" t="s">
        <v>6</v>
      </c>
      <c r="D7" s="102">
        <v>1</v>
      </c>
      <c r="E7" s="103" t="s">
        <v>7</v>
      </c>
      <c r="F7" s="104">
        <v>981</v>
      </c>
      <c r="G7" s="105">
        <f>D7*F7</f>
        <v>981</v>
      </c>
      <c r="H7" s="105">
        <v>100</v>
      </c>
      <c r="I7" s="105">
        <f>D7*H7</f>
        <v>100</v>
      </c>
      <c r="J7" s="106"/>
    </row>
    <row r="8" spans="1:11" s="114" customFormat="1">
      <c r="A8" s="108"/>
      <c r="B8" s="109" t="s">
        <v>50</v>
      </c>
      <c r="C8" s="109"/>
      <c r="D8" s="109"/>
      <c r="E8" s="109"/>
      <c r="F8" s="110"/>
      <c r="G8" s="111">
        <f>SUM(G7:G7)</f>
        <v>981</v>
      </c>
      <c r="H8" s="112"/>
      <c r="I8" s="112"/>
      <c r="J8" s="113"/>
    </row>
    <row r="9" spans="1:11" s="114" customFormat="1">
      <c r="A9" s="115"/>
      <c r="B9" s="116" t="s">
        <v>51</v>
      </c>
      <c r="C9" s="116"/>
      <c r="D9" s="116"/>
      <c r="E9" s="116"/>
      <c r="F9" s="117"/>
      <c r="G9" s="118">
        <v>0</v>
      </c>
      <c r="H9" s="119"/>
      <c r="I9" s="119"/>
      <c r="J9" s="120"/>
    </row>
    <row r="10" spans="1:11" s="114" customFormat="1">
      <c r="A10" s="121"/>
      <c r="B10" s="122" t="s">
        <v>21</v>
      </c>
      <c r="C10" s="275"/>
      <c r="D10" s="276"/>
      <c r="E10" s="276"/>
      <c r="F10" s="277"/>
      <c r="G10" s="123">
        <f>SUM(G8:G9)</f>
        <v>981</v>
      </c>
      <c r="H10" s="124"/>
      <c r="I10" s="123">
        <f>SUM(I7:I9)</f>
        <v>100</v>
      </c>
      <c r="J10" s="125"/>
    </row>
    <row r="11" spans="1:11">
      <c r="A11" s="316" t="s">
        <v>52</v>
      </c>
      <c r="B11" s="317"/>
      <c r="C11" s="317"/>
      <c r="D11" s="317"/>
      <c r="E11" s="317"/>
      <c r="F11" s="317"/>
      <c r="G11" s="317"/>
      <c r="H11" s="317"/>
      <c r="I11" s="317"/>
      <c r="J11" s="318"/>
    </row>
    <row r="12" spans="1:11" s="107" customFormat="1">
      <c r="A12" s="175"/>
      <c r="B12" s="176" t="s">
        <v>9</v>
      </c>
      <c r="C12" s="177">
        <v>20</v>
      </c>
      <c r="D12" s="137">
        <v>2</v>
      </c>
      <c r="E12" s="177" t="s">
        <v>10</v>
      </c>
      <c r="F12" s="137">
        <v>43</v>
      </c>
      <c r="G12" s="178">
        <f>F12*D12</f>
        <v>86</v>
      </c>
      <c r="H12" s="179">
        <v>8</v>
      </c>
      <c r="I12" s="180">
        <f>D12*H12</f>
        <v>16</v>
      </c>
      <c r="J12" s="181"/>
    </row>
    <row r="13" spans="1:11" s="107" customFormat="1">
      <c r="A13" s="126"/>
      <c r="B13" s="127" t="s">
        <v>98</v>
      </c>
      <c r="C13" s="128" t="s">
        <v>39</v>
      </c>
      <c r="D13" s="129">
        <v>1</v>
      </c>
      <c r="E13" s="128" t="s">
        <v>13</v>
      </c>
      <c r="F13" s="182">
        <v>2100</v>
      </c>
      <c r="G13" s="130">
        <f t="shared" ref="G13:G18" si="0">F13*D13</f>
        <v>2100</v>
      </c>
      <c r="H13" s="183">
        <v>840</v>
      </c>
      <c r="I13" s="105">
        <f>D13*H13</f>
        <v>840</v>
      </c>
      <c r="J13" s="132"/>
    </row>
    <row r="14" spans="1:11" s="107" customFormat="1">
      <c r="A14" s="126"/>
      <c r="B14" s="127" t="s">
        <v>23</v>
      </c>
      <c r="C14" s="128" t="s">
        <v>24</v>
      </c>
      <c r="D14" s="129">
        <v>1</v>
      </c>
      <c r="E14" s="128" t="s">
        <v>15</v>
      </c>
      <c r="F14" s="129">
        <v>85</v>
      </c>
      <c r="G14" s="130">
        <f t="shared" si="0"/>
        <v>85</v>
      </c>
      <c r="H14" s="133">
        <v>0</v>
      </c>
      <c r="I14" s="133">
        <v>0</v>
      </c>
      <c r="J14" s="132"/>
    </row>
    <row r="15" spans="1:11" s="107" customFormat="1">
      <c r="A15" s="126"/>
      <c r="B15" s="127" t="s">
        <v>16</v>
      </c>
      <c r="C15" s="128">
        <v>20</v>
      </c>
      <c r="D15" s="129">
        <v>2</v>
      </c>
      <c r="E15" s="128" t="s">
        <v>15</v>
      </c>
      <c r="F15" s="129">
        <v>74</v>
      </c>
      <c r="G15" s="135">
        <f t="shared" si="0"/>
        <v>148</v>
      </c>
      <c r="H15" s="133">
        <v>0</v>
      </c>
      <c r="I15" s="133">
        <v>0</v>
      </c>
      <c r="J15" s="132"/>
    </row>
    <row r="16" spans="1:11" s="107" customFormat="1">
      <c r="A16" s="126"/>
      <c r="B16" s="127" t="s">
        <v>14</v>
      </c>
      <c r="C16" s="128" t="s">
        <v>20</v>
      </c>
      <c r="D16" s="129">
        <v>2</v>
      </c>
      <c r="E16" s="128" t="s">
        <v>15</v>
      </c>
      <c r="F16" s="129">
        <v>189</v>
      </c>
      <c r="G16" s="135">
        <f t="shared" si="0"/>
        <v>378</v>
      </c>
      <c r="H16" s="133">
        <v>0</v>
      </c>
      <c r="I16" s="133">
        <v>0</v>
      </c>
      <c r="J16" s="132"/>
    </row>
    <row r="17" spans="1:10" s="107" customFormat="1">
      <c r="A17" s="126"/>
      <c r="B17" s="127" t="s">
        <v>19</v>
      </c>
      <c r="C17" s="128" t="s">
        <v>6</v>
      </c>
      <c r="D17" s="129">
        <v>1</v>
      </c>
      <c r="E17" s="128" t="s">
        <v>15</v>
      </c>
      <c r="F17" s="129">
        <v>68</v>
      </c>
      <c r="G17" s="130">
        <f t="shared" si="0"/>
        <v>68</v>
      </c>
      <c r="H17" s="134">
        <v>0</v>
      </c>
      <c r="I17" s="133">
        <v>0</v>
      </c>
      <c r="J17" s="132"/>
    </row>
    <row r="18" spans="1:10" s="107" customFormat="1">
      <c r="A18" s="126"/>
      <c r="B18" s="127" t="s">
        <v>35</v>
      </c>
      <c r="C18" s="128" t="s">
        <v>20</v>
      </c>
      <c r="D18" s="129">
        <v>1</v>
      </c>
      <c r="E18" s="128" t="s">
        <v>15</v>
      </c>
      <c r="F18" s="129">
        <v>81</v>
      </c>
      <c r="G18" s="130">
        <f t="shared" si="0"/>
        <v>81</v>
      </c>
      <c r="H18" s="133">
        <v>0</v>
      </c>
      <c r="I18" s="133">
        <v>0</v>
      </c>
      <c r="J18" s="132"/>
    </row>
    <row r="19" spans="1:10" s="107" customFormat="1">
      <c r="A19" s="126"/>
      <c r="B19" s="127" t="s">
        <v>17</v>
      </c>
      <c r="C19" s="128"/>
      <c r="D19" s="129">
        <v>1</v>
      </c>
      <c r="E19" s="128" t="s">
        <v>18</v>
      </c>
      <c r="F19" s="129">
        <v>12</v>
      </c>
      <c r="G19" s="130">
        <f>F19*D19</f>
        <v>12</v>
      </c>
      <c r="H19" s="133">
        <v>0</v>
      </c>
      <c r="I19" s="133">
        <v>0</v>
      </c>
      <c r="J19" s="132"/>
    </row>
    <row r="20" spans="1:10" s="107" customFormat="1">
      <c r="A20" s="126"/>
      <c r="B20" s="127" t="s">
        <v>36</v>
      </c>
      <c r="C20" s="128"/>
      <c r="D20" s="129">
        <v>1</v>
      </c>
      <c r="E20" s="128" t="s">
        <v>13</v>
      </c>
      <c r="F20" s="129">
        <v>3</v>
      </c>
      <c r="G20" s="130">
        <f>F20*D20</f>
        <v>3</v>
      </c>
      <c r="H20" s="133">
        <v>0</v>
      </c>
      <c r="I20" s="133">
        <v>0</v>
      </c>
      <c r="J20" s="132"/>
    </row>
    <row r="21" spans="1:10" s="107" customFormat="1">
      <c r="A21" s="126"/>
      <c r="B21" s="127" t="s">
        <v>38</v>
      </c>
      <c r="C21" s="128"/>
      <c r="D21" s="189" t="s">
        <v>84</v>
      </c>
      <c r="E21" s="128" t="s">
        <v>37</v>
      </c>
      <c r="F21" s="129">
        <v>320</v>
      </c>
      <c r="G21" s="130">
        <f>F21*D21</f>
        <v>0</v>
      </c>
      <c r="H21" s="134">
        <v>0</v>
      </c>
      <c r="I21" s="133">
        <v>0</v>
      </c>
      <c r="J21" s="132"/>
    </row>
    <row r="22" spans="1:10" s="114" customFormat="1">
      <c r="A22" s="108"/>
      <c r="B22" s="109" t="s">
        <v>50</v>
      </c>
      <c r="C22" s="109"/>
      <c r="D22" s="109"/>
      <c r="E22" s="109"/>
      <c r="F22" s="110"/>
      <c r="G22" s="111">
        <f>SUM(G12:G21)</f>
        <v>2961</v>
      </c>
      <c r="H22" s="185"/>
      <c r="I22" s="133"/>
      <c r="J22" s="113"/>
    </row>
    <row r="23" spans="1:10" s="114" customFormat="1">
      <c r="A23" s="115"/>
      <c r="B23" s="116" t="s">
        <v>51</v>
      </c>
      <c r="C23" s="116"/>
      <c r="D23" s="116"/>
      <c r="E23" s="116"/>
      <c r="F23" s="117"/>
      <c r="G23" s="118">
        <v>0</v>
      </c>
      <c r="H23" s="119"/>
      <c r="I23" s="136"/>
      <c r="J23" s="120"/>
    </row>
    <row r="24" spans="1:10" s="114" customFormat="1">
      <c r="A24" s="121"/>
      <c r="B24" s="122" t="s">
        <v>54</v>
      </c>
      <c r="C24" s="275"/>
      <c r="D24" s="276"/>
      <c r="E24" s="276"/>
      <c r="F24" s="277"/>
      <c r="G24" s="123">
        <f>SUM(G22:G23)</f>
        <v>2961</v>
      </c>
      <c r="H24" s="124"/>
      <c r="I24" s="123">
        <f>SUM(I12:I23)</f>
        <v>856</v>
      </c>
      <c r="J24" s="125"/>
    </row>
    <row r="25" spans="1:10" s="107" customFormat="1">
      <c r="A25" s="282" t="s">
        <v>55</v>
      </c>
      <c r="B25" s="283"/>
      <c r="C25" s="283"/>
      <c r="D25" s="283"/>
      <c r="E25" s="283"/>
      <c r="F25" s="283"/>
      <c r="G25" s="283"/>
      <c r="H25" s="283"/>
      <c r="I25" s="283"/>
      <c r="J25" s="284"/>
    </row>
    <row r="26" spans="1:10" s="107" customFormat="1">
      <c r="A26" s="137"/>
      <c r="B26" s="138"/>
      <c r="C26" s="313" t="s">
        <v>53</v>
      </c>
      <c r="D26" s="314"/>
      <c r="E26" s="314"/>
      <c r="F26" s="314"/>
      <c r="G26" s="314"/>
      <c r="H26" s="314"/>
      <c r="I26" s="315"/>
      <c r="J26" s="139"/>
    </row>
    <row r="27" spans="1:10" s="114" customFormat="1">
      <c r="A27" s="108"/>
      <c r="B27" s="109" t="s">
        <v>50</v>
      </c>
      <c r="C27" s="109"/>
      <c r="D27" s="109"/>
      <c r="E27" s="109"/>
      <c r="F27" s="110"/>
      <c r="G27" s="140">
        <f>SUM(G26:G26)</f>
        <v>0</v>
      </c>
      <c r="H27" s="112"/>
      <c r="I27" s="112"/>
      <c r="J27" s="113"/>
    </row>
    <row r="28" spans="1:10" s="114" customFormat="1">
      <c r="A28" s="115"/>
      <c r="B28" s="116" t="s">
        <v>51</v>
      </c>
      <c r="C28" s="116"/>
      <c r="D28" s="116"/>
      <c r="E28" s="116"/>
      <c r="F28" s="117"/>
      <c r="G28" s="118">
        <f>G27*10%</f>
        <v>0</v>
      </c>
      <c r="H28" s="119"/>
      <c r="I28" s="119"/>
      <c r="J28" s="120"/>
    </row>
    <row r="29" spans="1:10" s="114" customFormat="1">
      <c r="A29" s="141"/>
      <c r="B29" s="122" t="s">
        <v>56</v>
      </c>
      <c r="C29" s="275"/>
      <c r="D29" s="276"/>
      <c r="E29" s="276"/>
      <c r="F29" s="277"/>
      <c r="G29" s="123">
        <f>SUM(G27:G28)</f>
        <v>0</v>
      </c>
      <c r="H29" s="124"/>
      <c r="I29" s="142">
        <f>SUM(I26:I28)</f>
        <v>0</v>
      </c>
      <c r="J29" s="143">
        <f>I29+G29</f>
        <v>0</v>
      </c>
    </row>
    <row r="30" spans="1:10" s="107" customFormat="1">
      <c r="A30" s="282" t="s">
        <v>57</v>
      </c>
      <c r="B30" s="283"/>
      <c r="C30" s="283"/>
      <c r="D30" s="283"/>
      <c r="E30" s="283"/>
      <c r="F30" s="283"/>
      <c r="G30" s="283"/>
      <c r="H30" s="283"/>
      <c r="I30" s="283"/>
      <c r="J30" s="284"/>
    </row>
    <row r="31" spans="1:10" s="107" customFormat="1">
      <c r="A31" s="137"/>
      <c r="B31" s="138"/>
      <c r="C31" s="313" t="s">
        <v>53</v>
      </c>
      <c r="D31" s="314"/>
      <c r="E31" s="314"/>
      <c r="F31" s="314"/>
      <c r="G31" s="314"/>
      <c r="H31" s="314"/>
      <c r="I31" s="315"/>
      <c r="J31" s="139"/>
    </row>
    <row r="32" spans="1:10" s="107" customFormat="1">
      <c r="A32" s="144"/>
      <c r="B32" s="145" t="s">
        <v>50</v>
      </c>
      <c r="C32" s="145"/>
      <c r="D32" s="145"/>
      <c r="E32" s="145"/>
      <c r="F32" s="130"/>
      <c r="G32" s="111">
        <f>SUM(G31:G31)</f>
        <v>0</v>
      </c>
      <c r="H32" s="146"/>
      <c r="I32" s="146"/>
      <c r="J32" s="147"/>
    </row>
    <row r="33" spans="1:13" s="107" customFormat="1">
      <c r="A33" s="148"/>
      <c r="B33" s="149" t="s">
        <v>51</v>
      </c>
      <c r="C33" s="149"/>
      <c r="D33" s="149"/>
      <c r="E33" s="149"/>
      <c r="F33" s="150"/>
      <c r="G33" s="151">
        <f>G32*10%</f>
        <v>0</v>
      </c>
      <c r="H33" s="152"/>
      <c r="I33" s="152"/>
      <c r="J33" s="153"/>
    </row>
    <row r="34" spans="1:13" s="107" customFormat="1">
      <c r="A34" s="154"/>
      <c r="B34" s="155" t="s">
        <v>58</v>
      </c>
      <c r="C34" s="319"/>
      <c r="D34" s="320"/>
      <c r="E34" s="320"/>
      <c r="F34" s="321"/>
      <c r="G34" s="156">
        <f>SUM(G32:G33)</f>
        <v>0</v>
      </c>
      <c r="H34" s="157"/>
      <c r="I34" s="158">
        <f>SUM(I31:I33)</f>
        <v>0</v>
      </c>
      <c r="J34" s="159">
        <f>I34+G34</f>
        <v>0</v>
      </c>
    </row>
    <row r="35" spans="1:13" s="114" customFormat="1">
      <c r="A35" s="288" t="s">
        <v>65</v>
      </c>
      <c r="B35" s="289"/>
      <c r="C35" s="290"/>
      <c r="D35" s="291"/>
      <c r="E35" s="291"/>
      <c r="F35" s="291"/>
      <c r="G35" s="291"/>
      <c r="H35" s="291"/>
      <c r="I35" s="292"/>
      <c r="J35" s="160">
        <v>3600</v>
      </c>
      <c r="K35" s="161"/>
      <c r="L35" s="172"/>
      <c r="M35" s="173"/>
    </row>
    <row r="36" spans="1:13" s="163" customFormat="1">
      <c r="A36" s="293" t="s">
        <v>59</v>
      </c>
      <c r="B36" s="294"/>
      <c r="C36" s="295"/>
      <c r="D36" s="296"/>
      <c r="E36" s="296"/>
      <c r="F36" s="296"/>
      <c r="G36" s="296"/>
      <c r="H36" s="296"/>
      <c r="I36" s="297"/>
      <c r="J36" s="162">
        <v>0</v>
      </c>
    </row>
    <row r="37" spans="1:13" s="107" customFormat="1">
      <c r="A37" s="268" t="s">
        <v>60</v>
      </c>
      <c r="B37" s="322"/>
      <c r="C37" s="164" t="s">
        <v>8</v>
      </c>
      <c r="D37" s="165" t="s">
        <v>8</v>
      </c>
      <c r="E37" s="166" t="s">
        <v>61</v>
      </c>
      <c r="F37" s="270">
        <v>0</v>
      </c>
      <c r="G37" s="271"/>
      <c r="H37" s="272">
        <v>0</v>
      </c>
      <c r="I37" s="273"/>
      <c r="J37" s="274"/>
    </row>
    <row r="38" spans="1:13" s="163" customFormat="1">
      <c r="A38" s="254" t="s">
        <v>62</v>
      </c>
      <c r="B38" s="255"/>
      <c r="C38" s="167" t="s">
        <v>6</v>
      </c>
      <c r="D38" s="168">
        <v>1</v>
      </c>
      <c r="E38" s="169" t="s">
        <v>7</v>
      </c>
      <c r="F38" s="256">
        <v>0</v>
      </c>
      <c r="G38" s="257"/>
      <c r="H38" s="257"/>
      <c r="I38" s="257"/>
      <c r="J38" s="258"/>
    </row>
    <row r="39" spans="1:13" s="163" customFormat="1" ht="24.75" thickBot="1">
      <c r="A39" s="259" t="s">
        <v>63</v>
      </c>
      <c r="B39" s="260"/>
      <c r="C39" s="261">
        <f>(J35+J36+H37+F38)</f>
        <v>3600</v>
      </c>
      <c r="D39" s="262"/>
      <c r="E39" s="262"/>
      <c r="F39" s="262"/>
      <c r="G39" s="262"/>
      <c r="H39" s="262"/>
      <c r="I39" s="262"/>
      <c r="J39" s="263"/>
      <c r="L39" s="174"/>
    </row>
    <row r="40" spans="1:13" s="163" customFormat="1" ht="24.75" thickBot="1">
      <c r="A40" s="264" t="str">
        <f>BAHTTEXT(C39)</f>
        <v>สามพันหกร้อยบาทถ้วน</v>
      </c>
      <c r="B40" s="265"/>
      <c r="C40" s="265"/>
      <c r="D40" s="265"/>
      <c r="E40" s="265"/>
      <c r="F40" s="265"/>
      <c r="G40" s="265"/>
      <c r="H40" s="265"/>
      <c r="I40" s="265"/>
      <c r="J40" s="266"/>
    </row>
    <row r="41" spans="1:13" s="163" customFormat="1">
      <c r="A41" s="186"/>
      <c r="B41" s="186"/>
      <c r="C41" s="186"/>
      <c r="D41" s="186"/>
      <c r="E41" s="186"/>
      <c r="F41" s="186"/>
      <c r="G41" s="186"/>
      <c r="H41" s="186"/>
      <c r="I41" s="186"/>
      <c r="J41" s="186"/>
    </row>
    <row r="43" spans="1:13" s="171" customFormat="1">
      <c r="A43" s="267" t="s">
        <v>64</v>
      </c>
      <c r="B43" s="267"/>
      <c r="C43" s="170"/>
      <c r="D43" s="170"/>
      <c r="E43" s="253" t="s">
        <v>85</v>
      </c>
      <c r="F43" s="253"/>
      <c r="G43" s="253"/>
      <c r="H43" s="253"/>
      <c r="I43" s="253"/>
      <c r="J43" s="253"/>
      <c r="K43" s="170"/>
    </row>
    <row r="44" spans="1:13" s="171" customFormat="1">
      <c r="A44" s="253" t="s">
        <v>79</v>
      </c>
      <c r="B44" s="253"/>
      <c r="C44" s="170"/>
      <c r="D44" s="170"/>
      <c r="E44" s="253" t="s">
        <v>93</v>
      </c>
      <c r="F44" s="253"/>
      <c r="G44" s="253"/>
      <c r="H44" s="253"/>
      <c r="I44" s="253"/>
      <c r="J44" s="253"/>
      <c r="K44" s="170"/>
    </row>
    <row r="45" spans="1:13" s="171" customFormat="1">
      <c r="A45" s="253" t="s">
        <v>109</v>
      </c>
      <c r="B45" s="253"/>
      <c r="C45" s="170"/>
      <c r="D45" s="170"/>
      <c r="E45" s="253" t="s">
        <v>126</v>
      </c>
      <c r="F45" s="253"/>
      <c r="G45" s="253"/>
      <c r="H45" s="253"/>
      <c r="I45" s="253"/>
      <c r="J45" s="253"/>
      <c r="K45" s="170"/>
    </row>
    <row r="46" spans="1:13">
      <c r="E46" s="253"/>
      <c r="F46" s="253"/>
      <c r="G46" s="253"/>
      <c r="H46" s="253"/>
      <c r="I46" s="253"/>
      <c r="J46" s="253"/>
    </row>
  </sheetData>
  <mergeCells count="42">
    <mergeCell ref="E46:J46"/>
    <mergeCell ref="E45:J45"/>
    <mergeCell ref="A44:B44"/>
    <mergeCell ref="A38:B38"/>
    <mergeCell ref="F38:J38"/>
    <mergeCell ref="A39:B39"/>
    <mergeCell ref="C39:J39"/>
    <mergeCell ref="A40:J40"/>
    <mergeCell ref="A43:B43"/>
    <mergeCell ref="E43:J43"/>
    <mergeCell ref="E44:J44"/>
    <mergeCell ref="A45:B45"/>
    <mergeCell ref="A37:B37"/>
    <mergeCell ref="F37:G37"/>
    <mergeCell ref="H37:J37"/>
    <mergeCell ref="C24:F24"/>
    <mergeCell ref="A25:J25"/>
    <mergeCell ref="C26:I26"/>
    <mergeCell ref="C29:F29"/>
    <mergeCell ref="A30:J30"/>
    <mergeCell ref="C31:I31"/>
    <mergeCell ref="C34:F34"/>
    <mergeCell ref="A35:B35"/>
    <mergeCell ref="C35:I35"/>
    <mergeCell ref="A36:B36"/>
    <mergeCell ref="C36:I36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</mergeCells>
  <conditionalFormatting sqref="F38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7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ageMargins left="0.78740157480314965" right="3.937007874015748E-2" top="0.55118110236220474" bottom="3.937007874015748E-2" header="0.31496062992125984" footer="0.31496062992125984"/>
  <pageSetup paperSize="9" scale="68" orientation="portrait" r:id="rId1"/>
  <colBreaks count="1" manualBreakCount="1">
    <brk id="1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FF0000"/>
  </sheetPr>
  <dimension ref="A1:M47"/>
  <sheetViews>
    <sheetView topLeftCell="A40" zoomScaleNormal="100" workbookViewId="0">
      <selection activeCell="L55" sqref="L55"/>
    </sheetView>
  </sheetViews>
  <sheetFormatPr defaultColWidth="9" defaultRowHeight="21"/>
  <cols>
    <col min="1" max="1" width="5.75" style="14" customWidth="1"/>
    <col min="2" max="2" width="44.625" style="14" customWidth="1"/>
    <col min="3" max="3" width="8.625" style="14" customWidth="1"/>
    <col min="4" max="6" width="7.625" style="14" customWidth="1"/>
    <col min="7" max="7" width="8.625" style="14" customWidth="1"/>
    <col min="8" max="8" width="7.625" style="14" customWidth="1"/>
    <col min="9" max="9" width="8.625" style="14" customWidth="1"/>
    <col min="10" max="10" width="9.625" style="14" customWidth="1"/>
    <col min="11" max="16384" width="9" style="14"/>
  </cols>
  <sheetData>
    <row r="1" spans="1:11" s="1" customFormat="1" ht="23.25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10"/>
    </row>
    <row r="2" spans="1:11" s="1" customFormat="1">
      <c r="A2" s="198" t="s">
        <v>34</v>
      </c>
      <c r="B2" s="198"/>
      <c r="C2" s="198" t="s">
        <v>69</v>
      </c>
      <c r="D2" s="198"/>
      <c r="E2" s="198"/>
      <c r="F2" s="198"/>
      <c r="G2" s="198"/>
      <c r="H2" s="244" t="s">
        <v>66</v>
      </c>
      <c r="I2" s="244"/>
      <c r="J2" s="244"/>
      <c r="K2" s="89"/>
    </row>
    <row r="3" spans="1:11" s="1" customFormat="1">
      <c r="A3" s="245" t="s">
        <v>67</v>
      </c>
      <c r="B3" s="245"/>
      <c r="C3" s="245"/>
      <c r="D3" s="245"/>
      <c r="E3" s="245"/>
      <c r="F3" s="245"/>
      <c r="G3" s="245"/>
      <c r="H3" s="245"/>
      <c r="I3" s="245"/>
      <c r="J3" s="245"/>
      <c r="K3" s="9"/>
    </row>
    <row r="4" spans="1:11" s="12" customFormat="1">
      <c r="A4" s="246" t="s">
        <v>43</v>
      </c>
      <c r="B4" s="246" t="s">
        <v>1</v>
      </c>
      <c r="C4" s="246" t="s">
        <v>2</v>
      </c>
      <c r="D4" s="246" t="s">
        <v>3</v>
      </c>
      <c r="E4" s="246" t="s">
        <v>4</v>
      </c>
      <c r="F4" s="249" t="s">
        <v>44</v>
      </c>
      <c r="G4" s="250"/>
      <c r="H4" s="249" t="s">
        <v>45</v>
      </c>
      <c r="I4" s="250"/>
      <c r="J4" s="251" t="s">
        <v>5</v>
      </c>
    </row>
    <row r="5" spans="1:11" s="12" customFormat="1">
      <c r="A5" s="247"/>
      <c r="B5" s="247"/>
      <c r="C5" s="248"/>
      <c r="D5" s="248"/>
      <c r="E5" s="248"/>
      <c r="F5" s="13" t="s">
        <v>46</v>
      </c>
      <c r="G5" s="13" t="s">
        <v>47</v>
      </c>
      <c r="H5" s="13" t="s">
        <v>46</v>
      </c>
      <c r="I5" s="13" t="s">
        <v>47</v>
      </c>
      <c r="J5" s="252"/>
    </row>
    <row r="6" spans="1:11">
      <c r="A6" s="227" t="s">
        <v>48</v>
      </c>
      <c r="B6" s="228"/>
      <c r="C6" s="228"/>
      <c r="D6" s="228"/>
      <c r="E6" s="228"/>
      <c r="F6" s="228"/>
      <c r="G6" s="228"/>
      <c r="H6" s="228"/>
      <c r="I6" s="228"/>
      <c r="J6" s="229"/>
    </row>
    <row r="7" spans="1:11" s="19" customFormat="1">
      <c r="A7" s="2"/>
      <c r="B7" s="3" t="s">
        <v>49</v>
      </c>
      <c r="C7" s="15" t="s">
        <v>6</v>
      </c>
      <c r="D7" s="15">
        <v>1</v>
      </c>
      <c r="E7" s="16" t="s">
        <v>7</v>
      </c>
      <c r="F7" s="4">
        <v>645</v>
      </c>
      <c r="G7" s="17">
        <f>D7*F7</f>
        <v>645</v>
      </c>
      <c r="H7" s="17">
        <v>100</v>
      </c>
      <c r="I7" s="17">
        <f>D7*H7</f>
        <v>100</v>
      </c>
      <c r="J7" s="18"/>
    </row>
    <row r="8" spans="1:11" s="26" customFormat="1">
      <c r="A8" s="20"/>
      <c r="B8" s="21" t="s">
        <v>50</v>
      </c>
      <c r="C8" s="21"/>
      <c r="D8" s="21"/>
      <c r="E8" s="21"/>
      <c r="F8" s="22"/>
      <c r="G8" s="23">
        <f>SUM(G7:G7)</f>
        <v>645</v>
      </c>
      <c r="H8" s="24"/>
      <c r="I8" s="24"/>
      <c r="J8" s="25"/>
    </row>
    <row r="9" spans="1:11" s="26" customFormat="1">
      <c r="A9" s="27"/>
      <c r="B9" s="28" t="s">
        <v>51</v>
      </c>
      <c r="C9" s="28"/>
      <c r="D9" s="28"/>
      <c r="E9" s="28"/>
      <c r="F9" s="29"/>
      <c r="G9" s="30">
        <v>0</v>
      </c>
      <c r="H9" s="31"/>
      <c r="I9" s="31"/>
      <c r="J9" s="32"/>
    </row>
    <row r="10" spans="1:11" s="26" customFormat="1">
      <c r="A10" s="33"/>
      <c r="B10" s="34" t="s">
        <v>21</v>
      </c>
      <c r="C10" s="213"/>
      <c r="D10" s="214"/>
      <c r="E10" s="214"/>
      <c r="F10" s="215"/>
      <c r="G10" s="35">
        <f>SUM(G8:G9)</f>
        <v>645</v>
      </c>
      <c r="H10" s="36"/>
      <c r="I10" s="35">
        <f>SUM(I7:I9)</f>
        <v>100</v>
      </c>
      <c r="J10" s="37"/>
    </row>
    <row r="11" spans="1:11">
      <c r="A11" s="332" t="s">
        <v>52</v>
      </c>
      <c r="B11" s="333"/>
      <c r="C11" s="333"/>
      <c r="D11" s="333"/>
      <c r="E11" s="333"/>
      <c r="F11" s="333"/>
      <c r="G11" s="333"/>
      <c r="H11" s="333"/>
      <c r="I11" s="333"/>
      <c r="J11" s="334"/>
    </row>
    <row r="12" spans="1:11" s="19" customFormat="1">
      <c r="A12" s="83"/>
      <c r="B12" s="84" t="s">
        <v>9</v>
      </c>
      <c r="C12" s="85">
        <v>20</v>
      </c>
      <c r="D12" s="38">
        <v>1</v>
      </c>
      <c r="E12" s="85" t="s">
        <v>10</v>
      </c>
      <c r="F12" s="38">
        <v>39</v>
      </c>
      <c r="G12" s="86">
        <f t="shared" ref="G12:G20" si="0">F12*D12</f>
        <v>39</v>
      </c>
      <c r="H12" s="87">
        <v>0</v>
      </c>
      <c r="I12" s="87">
        <v>0</v>
      </c>
      <c r="J12" s="88"/>
    </row>
    <row r="13" spans="1:11" s="19" customFormat="1">
      <c r="A13" s="41"/>
      <c r="B13" s="5" t="s">
        <v>33</v>
      </c>
      <c r="C13" s="6" t="s">
        <v>68</v>
      </c>
      <c r="D13" s="7">
        <v>1</v>
      </c>
      <c r="E13" s="6" t="s">
        <v>13</v>
      </c>
      <c r="F13" s="8">
        <v>2325</v>
      </c>
      <c r="G13" s="42">
        <f t="shared" si="0"/>
        <v>2325</v>
      </c>
      <c r="H13" s="79">
        <v>0</v>
      </c>
      <c r="I13" s="80">
        <v>0</v>
      </c>
      <c r="J13" s="43"/>
    </row>
    <row r="14" spans="1:11" s="19" customFormat="1">
      <c r="A14" s="41"/>
      <c r="B14" s="5" t="s">
        <v>26</v>
      </c>
      <c r="C14" s="6" t="s">
        <v>28</v>
      </c>
      <c r="D14" s="7">
        <v>1</v>
      </c>
      <c r="E14" s="6" t="s">
        <v>15</v>
      </c>
      <c r="F14" s="7">
        <v>13</v>
      </c>
      <c r="G14" s="42">
        <f t="shared" si="0"/>
        <v>13</v>
      </c>
      <c r="H14" s="79">
        <v>0</v>
      </c>
      <c r="I14" s="80">
        <v>0</v>
      </c>
      <c r="J14" s="43"/>
    </row>
    <row r="15" spans="1:11" s="19" customFormat="1">
      <c r="A15" s="41"/>
      <c r="B15" s="5" t="s">
        <v>27</v>
      </c>
      <c r="C15" s="6" t="s">
        <v>28</v>
      </c>
      <c r="D15" s="7">
        <v>1</v>
      </c>
      <c r="E15" s="6" t="s">
        <v>15</v>
      </c>
      <c r="F15" s="7">
        <v>220</v>
      </c>
      <c r="G15" s="42">
        <f t="shared" si="0"/>
        <v>220</v>
      </c>
      <c r="H15" s="79">
        <v>0</v>
      </c>
      <c r="I15" s="82">
        <v>0</v>
      </c>
      <c r="J15" s="43"/>
    </row>
    <row r="16" spans="1:11" s="19" customFormat="1">
      <c r="A16" s="41"/>
      <c r="B16" s="5" t="s">
        <v>23</v>
      </c>
      <c r="C16" s="6" t="s">
        <v>24</v>
      </c>
      <c r="D16" s="7">
        <v>1</v>
      </c>
      <c r="E16" s="6" t="s">
        <v>15</v>
      </c>
      <c r="F16" s="7">
        <v>81</v>
      </c>
      <c r="G16" s="42">
        <f t="shared" si="0"/>
        <v>81</v>
      </c>
      <c r="H16" s="79">
        <v>0</v>
      </c>
      <c r="I16" s="79">
        <v>0</v>
      </c>
      <c r="J16" s="43"/>
    </row>
    <row r="17" spans="1:10" s="19" customFormat="1">
      <c r="A17" s="41"/>
      <c r="B17" s="5" t="s">
        <v>16</v>
      </c>
      <c r="C17" s="6">
        <v>20</v>
      </c>
      <c r="D17" s="7">
        <v>2</v>
      </c>
      <c r="E17" s="6" t="s">
        <v>15</v>
      </c>
      <c r="F17" s="7">
        <v>70</v>
      </c>
      <c r="G17" s="75">
        <f t="shared" si="0"/>
        <v>140</v>
      </c>
      <c r="H17" s="79">
        <v>0</v>
      </c>
      <c r="I17" s="79">
        <v>0</v>
      </c>
      <c r="J17" s="43"/>
    </row>
    <row r="18" spans="1:10" s="19" customFormat="1">
      <c r="A18" s="41"/>
      <c r="B18" s="5" t="s">
        <v>14</v>
      </c>
      <c r="C18" s="6" t="s">
        <v>20</v>
      </c>
      <c r="D18" s="7">
        <v>2</v>
      </c>
      <c r="E18" s="6" t="s">
        <v>15</v>
      </c>
      <c r="F18" s="7">
        <v>175</v>
      </c>
      <c r="G18" s="75">
        <f t="shared" si="0"/>
        <v>350</v>
      </c>
      <c r="H18" s="79">
        <v>0</v>
      </c>
      <c r="I18" s="79">
        <v>0</v>
      </c>
      <c r="J18" s="43"/>
    </row>
    <row r="19" spans="1:10" s="19" customFormat="1">
      <c r="A19" s="41"/>
      <c r="B19" s="5" t="s">
        <v>19</v>
      </c>
      <c r="C19" s="6" t="s">
        <v>6</v>
      </c>
      <c r="D19" s="7">
        <v>1</v>
      </c>
      <c r="E19" s="6" t="s">
        <v>15</v>
      </c>
      <c r="F19" s="7">
        <v>65</v>
      </c>
      <c r="G19" s="42">
        <f t="shared" si="0"/>
        <v>65</v>
      </c>
      <c r="H19" s="80">
        <v>0</v>
      </c>
      <c r="I19" s="79">
        <v>0</v>
      </c>
      <c r="J19" s="43"/>
    </row>
    <row r="20" spans="1:10" s="19" customFormat="1">
      <c r="A20" s="41"/>
      <c r="B20" s="5" t="s">
        <v>35</v>
      </c>
      <c r="C20" s="6" t="s">
        <v>20</v>
      </c>
      <c r="D20" s="7">
        <v>1</v>
      </c>
      <c r="E20" s="6" t="s">
        <v>15</v>
      </c>
      <c r="F20" s="7">
        <v>77</v>
      </c>
      <c r="G20" s="42">
        <f t="shared" si="0"/>
        <v>77</v>
      </c>
      <c r="H20" s="79">
        <v>0</v>
      </c>
      <c r="I20" s="79">
        <v>0</v>
      </c>
      <c r="J20" s="43"/>
    </row>
    <row r="21" spans="1:10" s="19" customFormat="1">
      <c r="A21" s="41"/>
      <c r="B21" s="5" t="s">
        <v>17</v>
      </c>
      <c r="C21" s="6"/>
      <c r="D21" s="7">
        <v>1</v>
      </c>
      <c r="E21" s="6" t="s">
        <v>18</v>
      </c>
      <c r="F21" s="7">
        <v>12</v>
      </c>
      <c r="G21" s="42">
        <f>F21*D21</f>
        <v>12</v>
      </c>
      <c r="H21" s="79">
        <v>0</v>
      </c>
      <c r="I21" s="79">
        <v>0</v>
      </c>
      <c r="J21" s="43"/>
    </row>
    <row r="22" spans="1:10" s="19" customFormat="1">
      <c r="A22" s="41"/>
      <c r="B22" s="5" t="s">
        <v>36</v>
      </c>
      <c r="C22" s="6"/>
      <c r="D22" s="7">
        <v>1</v>
      </c>
      <c r="E22" s="6" t="s">
        <v>13</v>
      </c>
      <c r="F22" s="7">
        <v>3</v>
      </c>
      <c r="G22" s="42">
        <f>F22*D22</f>
        <v>3</v>
      </c>
      <c r="H22" s="79">
        <v>0</v>
      </c>
      <c r="I22" s="79">
        <v>0</v>
      </c>
      <c r="J22" s="43"/>
    </row>
    <row r="23" spans="1:10" s="19" customFormat="1">
      <c r="A23" s="41"/>
      <c r="B23" s="5" t="s">
        <v>38</v>
      </c>
      <c r="C23" s="6"/>
      <c r="D23" s="7">
        <v>0</v>
      </c>
      <c r="E23" s="6" t="s">
        <v>37</v>
      </c>
      <c r="F23" s="7">
        <v>320</v>
      </c>
      <c r="G23" s="42">
        <f>F23*D23</f>
        <v>0</v>
      </c>
      <c r="H23" s="80">
        <v>0</v>
      </c>
      <c r="I23" s="79">
        <v>0</v>
      </c>
      <c r="J23" s="43"/>
    </row>
    <row r="24" spans="1:10" s="26" customFormat="1">
      <c r="A24" s="20"/>
      <c r="B24" s="21" t="s">
        <v>50</v>
      </c>
      <c r="C24" s="21"/>
      <c r="D24" s="21"/>
      <c r="E24" s="21"/>
      <c r="F24" s="22"/>
      <c r="G24" s="23">
        <f>SUM(G12:G23)</f>
        <v>3325</v>
      </c>
      <c r="H24" s="81"/>
      <c r="I24" s="79"/>
      <c r="J24" s="25"/>
    </row>
    <row r="25" spans="1:10" s="26" customFormat="1">
      <c r="A25" s="27"/>
      <c r="B25" s="28" t="s">
        <v>51</v>
      </c>
      <c r="C25" s="28"/>
      <c r="D25" s="28"/>
      <c r="E25" s="28"/>
      <c r="F25" s="29"/>
      <c r="G25" s="30">
        <v>0</v>
      </c>
      <c r="H25" s="31"/>
      <c r="I25" s="78"/>
      <c r="J25" s="32"/>
    </row>
    <row r="26" spans="1:10" s="26" customFormat="1">
      <c r="A26" s="33"/>
      <c r="B26" s="34" t="s">
        <v>54</v>
      </c>
      <c r="C26" s="213"/>
      <c r="D26" s="214"/>
      <c r="E26" s="214"/>
      <c r="F26" s="215"/>
      <c r="G26" s="35">
        <f>SUM(G24:G25)</f>
        <v>3325</v>
      </c>
      <c r="H26" s="36"/>
      <c r="I26" s="35">
        <f>SUM(I12:I25)</f>
        <v>0</v>
      </c>
      <c r="J26" s="37"/>
    </row>
    <row r="27" spans="1:10" s="19" customFormat="1">
      <c r="A27" s="227" t="s">
        <v>55</v>
      </c>
      <c r="B27" s="228"/>
      <c r="C27" s="228"/>
      <c r="D27" s="228"/>
      <c r="E27" s="228"/>
      <c r="F27" s="228"/>
      <c r="G27" s="228"/>
      <c r="H27" s="228"/>
      <c r="I27" s="228"/>
      <c r="J27" s="229"/>
    </row>
    <row r="28" spans="1:10" s="19" customFormat="1">
      <c r="A28" s="38"/>
      <c r="B28" s="39"/>
      <c r="C28" s="326" t="s">
        <v>53</v>
      </c>
      <c r="D28" s="327"/>
      <c r="E28" s="327"/>
      <c r="F28" s="327"/>
      <c r="G28" s="327"/>
      <c r="H28" s="327"/>
      <c r="I28" s="328"/>
      <c r="J28" s="40"/>
    </row>
    <row r="29" spans="1:10" s="26" customFormat="1">
      <c r="A29" s="20"/>
      <c r="B29" s="21" t="s">
        <v>50</v>
      </c>
      <c r="C29" s="21"/>
      <c r="D29" s="21"/>
      <c r="E29" s="21"/>
      <c r="F29" s="22"/>
      <c r="G29" s="44">
        <f>SUM(G28:G28)</f>
        <v>0</v>
      </c>
      <c r="H29" s="24"/>
      <c r="I29" s="24"/>
      <c r="J29" s="25"/>
    </row>
    <row r="30" spans="1:10" s="26" customFormat="1">
      <c r="A30" s="27"/>
      <c r="B30" s="28" t="s">
        <v>51</v>
      </c>
      <c r="C30" s="28"/>
      <c r="D30" s="28"/>
      <c r="E30" s="28"/>
      <c r="F30" s="29"/>
      <c r="G30" s="30">
        <f>G29*10%</f>
        <v>0</v>
      </c>
      <c r="H30" s="31"/>
      <c r="I30" s="31"/>
      <c r="J30" s="32"/>
    </row>
    <row r="31" spans="1:10" s="26" customFormat="1">
      <c r="A31" s="45"/>
      <c r="B31" s="34" t="s">
        <v>56</v>
      </c>
      <c r="C31" s="213"/>
      <c r="D31" s="214"/>
      <c r="E31" s="214"/>
      <c r="F31" s="215"/>
      <c r="G31" s="35">
        <f>SUM(G29:G30)</f>
        <v>0</v>
      </c>
      <c r="H31" s="36"/>
      <c r="I31" s="46">
        <f>SUM(I28:I30)</f>
        <v>0</v>
      </c>
      <c r="J31" s="47">
        <f>I31+G31</f>
        <v>0</v>
      </c>
    </row>
    <row r="32" spans="1:10" s="19" customFormat="1">
      <c r="A32" s="227" t="s">
        <v>57</v>
      </c>
      <c r="B32" s="228"/>
      <c r="C32" s="228"/>
      <c r="D32" s="228"/>
      <c r="E32" s="228"/>
      <c r="F32" s="228"/>
      <c r="G32" s="228"/>
      <c r="H32" s="228"/>
      <c r="I32" s="228"/>
      <c r="J32" s="229"/>
    </row>
    <row r="33" spans="1:13" s="19" customFormat="1">
      <c r="A33" s="38"/>
      <c r="B33" s="39"/>
      <c r="C33" s="326" t="s">
        <v>53</v>
      </c>
      <c r="D33" s="327"/>
      <c r="E33" s="327"/>
      <c r="F33" s="327"/>
      <c r="G33" s="327"/>
      <c r="H33" s="327"/>
      <c r="I33" s="328"/>
      <c r="J33" s="40"/>
    </row>
    <row r="34" spans="1:13" s="19" customFormat="1">
      <c r="A34" s="49"/>
      <c r="B34" s="48" t="s">
        <v>50</v>
      </c>
      <c r="C34" s="48"/>
      <c r="D34" s="48"/>
      <c r="E34" s="48"/>
      <c r="F34" s="42"/>
      <c r="G34" s="23">
        <f>SUM(G33:G33)</f>
        <v>0</v>
      </c>
      <c r="H34" s="50"/>
      <c r="I34" s="50"/>
      <c r="J34" s="51"/>
    </row>
    <row r="35" spans="1:13" s="19" customFormat="1">
      <c r="A35" s="52"/>
      <c r="B35" s="53" t="s">
        <v>51</v>
      </c>
      <c r="C35" s="53"/>
      <c r="D35" s="53"/>
      <c r="E35" s="53"/>
      <c r="F35" s="54"/>
      <c r="G35" s="55">
        <f>G34*10%</f>
        <v>0</v>
      </c>
      <c r="H35" s="56"/>
      <c r="I35" s="56"/>
      <c r="J35" s="57"/>
    </row>
    <row r="36" spans="1:13" s="19" customFormat="1">
      <c r="A36" s="58"/>
      <c r="B36" s="59" t="s">
        <v>58</v>
      </c>
      <c r="C36" s="329"/>
      <c r="D36" s="330"/>
      <c r="E36" s="330"/>
      <c r="F36" s="331"/>
      <c r="G36" s="60">
        <f>SUM(G34:G35)</f>
        <v>0</v>
      </c>
      <c r="H36" s="61"/>
      <c r="I36" s="62">
        <f>SUM(I33:I35)</f>
        <v>0</v>
      </c>
      <c r="J36" s="63">
        <f>I36+G36</f>
        <v>0</v>
      </c>
    </row>
    <row r="37" spans="1:13" s="26" customFormat="1">
      <c r="A37" s="233" t="s">
        <v>65</v>
      </c>
      <c r="B37" s="234"/>
      <c r="C37" s="235"/>
      <c r="D37" s="236"/>
      <c r="E37" s="236"/>
      <c r="F37" s="236"/>
      <c r="G37" s="236"/>
      <c r="H37" s="236"/>
      <c r="I37" s="237"/>
      <c r="J37" s="64">
        <v>3600</v>
      </c>
      <c r="K37" s="65"/>
      <c r="L37" s="66"/>
      <c r="M37" s="67"/>
    </row>
    <row r="38" spans="1:13" s="69" customFormat="1">
      <c r="A38" s="238" t="s">
        <v>59</v>
      </c>
      <c r="B38" s="239"/>
      <c r="C38" s="240"/>
      <c r="D38" s="241"/>
      <c r="E38" s="241"/>
      <c r="F38" s="241"/>
      <c r="G38" s="241"/>
      <c r="H38" s="241"/>
      <c r="I38" s="242"/>
      <c r="J38" s="68">
        <v>0</v>
      </c>
    </row>
    <row r="39" spans="1:13" s="19" customFormat="1">
      <c r="A39" s="216" t="s">
        <v>60</v>
      </c>
      <c r="B39" s="325"/>
      <c r="C39" s="76" t="s">
        <v>8</v>
      </c>
      <c r="D39" s="70" t="s">
        <v>8</v>
      </c>
      <c r="E39" s="71" t="s">
        <v>61</v>
      </c>
      <c r="F39" s="218">
        <v>0</v>
      </c>
      <c r="G39" s="219"/>
      <c r="H39" s="220">
        <v>0</v>
      </c>
      <c r="I39" s="221"/>
      <c r="J39" s="222"/>
    </row>
    <row r="40" spans="1:13" s="69" customFormat="1">
      <c r="A40" s="199" t="s">
        <v>62</v>
      </c>
      <c r="B40" s="200"/>
      <c r="C40" s="77" t="s">
        <v>6</v>
      </c>
      <c r="D40" s="72">
        <v>1</v>
      </c>
      <c r="E40" s="73" t="s">
        <v>7</v>
      </c>
      <c r="F40" s="201">
        <v>535</v>
      </c>
      <c r="G40" s="202"/>
      <c r="H40" s="202"/>
      <c r="I40" s="202"/>
      <c r="J40" s="203"/>
    </row>
    <row r="41" spans="1:13" s="69" customFormat="1" ht="21.75" thickBot="1">
      <c r="A41" s="204" t="s">
        <v>63</v>
      </c>
      <c r="B41" s="205"/>
      <c r="C41" s="206">
        <f>(J37+J38+H39+F40)</f>
        <v>4135</v>
      </c>
      <c r="D41" s="207"/>
      <c r="E41" s="207"/>
      <c r="F41" s="207"/>
      <c r="G41" s="207"/>
      <c r="H41" s="207"/>
      <c r="I41" s="207"/>
      <c r="J41" s="208"/>
      <c r="L41" s="74"/>
    </row>
    <row r="42" spans="1:13" s="69" customFormat="1" ht="21.75" thickBot="1">
      <c r="A42" s="209" t="str">
        <f>BAHTTEXT(C41)</f>
        <v>สี่พันหนึ่งร้อยสามสิบห้าบาทถ้วน</v>
      </c>
      <c r="B42" s="210"/>
      <c r="C42" s="210"/>
      <c r="D42" s="210"/>
      <c r="E42" s="210"/>
      <c r="F42" s="210"/>
      <c r="G42" s="210"/>
      <c r="H42" s="210"/>
      <c r="I42" s="210"/>
      <c r="J42" s="211"/>
    </row>
    <row r="44" spans="1:13" s="1" customFormat="1">
      <c r="A44" s="212" t="s">
        <v>64</v>
      </c>
      <c r="B44" s="212"/>
      <c r="C44" s="11"/>
      <c r="D44" s="11"/>
      <c r="E44" s="198" t="s">
        <v>85</v>
      </c>
      <c r="F44" s="198"/>
      <c r="G44" s="198"/>
      <c r="H44" s="198"/>
      <c r="I44" s="198"/>
      <c r="J44" s="198"/>
      <c r="K44" s="11"/>
    </row>
    <row r="45" spans="1:13" s="1" customFormat="1">
      <c r="A45" s="198" t="s">
        <v>79</v>
      </c>
      <c r="B45" s="198"/>
      <c r="C45" s="11"/>
      <c r="D45" s="11"/>
      <c r="E45" s="198" t="s">
        <v>93</v>
      </c>
      <c r="F45" s="198"/>
      <c r="G45" s="198"/>
      <c r="H45" s="198"/>
      <c r="I45" s="198"/>
      <c r="J45" s="198"/>
      <c r="K45" s="11"/>
    </row>
    <row r="46" spans="1:13" s="1" customFormat="1">
      <c r="A46" s="198" t="s">
        <v>109</v>
      </c>
      <c r="B46" s="198"/>
      <c r="C46" s="11"/>
      <c r="D46" s="11"/>
      <c r="E46" s="198" t="s">
        <v>99</v>
      </c>
      <c r="F46" s="198"/>
      <c r="G46" s="198"/>
      <c r="H46" s="198"/>
      <c r="I46" s="198"/>
      <c r="J46" s="198"/>
      <c r="K46" s="11"/>
    </row>
    <row r="47" spans="1:13">
      <c r="E47" s="198" t="s">
        <v>100</v>
      </c>
      <c r="F47" s="198"/>
      <c r="G47" s="198"/>
      <c r="H47" s="198"/>
      <c r="I47" s="198"/>
      <c r="J47" s="198"/>
    </row>
  </sheetData>
  <mergeCells count="42">
    <mergeCell ref="E47:J47"/>
    <mergeCell ref="A45:B45"/>
    <mergeCell ref="A46:B46"/>
    <mergeCell ref="A40:B40"/>
    <mergeCell ref="F40:J40"/>
    <mergeCell ref="A41:B41"/>
    <mergeCell ref="C41:J41"/>
    <mergeCell ref="A42:J42"/>
    <mergeCell ref="A44:B44"/>
    <mergeCell ref="E44:J44"/>
    <mergeCell ref="E45:J45"/>
    <mergeCell ref="E46:J46"/>
    <mergeCell ref="A39:B39"/>
    <mergeCell ref="F39:G39"/>
    <mergeCell ref="H39:J39"/>
    <mergeCell ref="C26:F26"/>
    <mergeCell ref="A27:J27"/>
    <mergeCell ref="C28:I28"/>
    <mergeCell ref="C31:F31"/>
    <mergeCell ref="A32:J32"/>
    <mergeCell ref="C33:I33"/>
    <mergeCell ref="C36:F36"/>
    <mergeCell ref="A37:B37"/>
    <mergeCell ref="C37:I37"/>
    <mergeCell ref="A38:B38"/>
    <mergeCell ref="C38:I38"/>
    <mergeCell ref="A11:J11"/>
    <mergeCell ref="A1:J1"/>
    <mergeCell ref="A2:B2"/>
    <mergeCell ref="C2:G2"/>
    <mergeCell ref="H2:J2"/>
    <mergeCell ref="A3:J3"/>
    <mergeCell ref="A4:A5"/>
    <mergeCell ref="B4:B5"/>
    <mergeCell ref="C4:C5"/>
    <mergeCell ref="D4:D5"/>
    <mergeCell ref="E4:E5"/>
    <mergeCell ref="F4:G4"/>
    <mergeCell ref="H4:I4"/>
    <mergeCell ref="J4:J5"/>
    <mergeCell ref="A6:J6"/>
    <mergeCell ref="C10:F10"/>
  </mergeCells>
  <conditionalFormatting sqref="F40">
    <cfRule type="expression" priority="3" stopIfTrue="1">
      <formula>"1.46779-(0.00000017267*f181)"</formula>
    </cfRule>
    <cfRule type="cellIs" priority="4" stopIfTrue="1" operator="between">
      <formula>100000</formula>
      <formula>300000</formula>
    </cfRule>
  </conditionalFormatting>
  <conditionalFormatting sqref="H39">
    <cfRule type="expression" priority="1" stopIfTrue="1">
      <formula>"1.46779-(0.00000017267*f181)"</formula>
    </cfRule>
    <cfRule type="cellIs" priority="2" stopIfTrue="1" operator="between">
      <formula>100000</formula>
      <formula>300000</formula>
    </cfRule>
  </conditionalFormatting>
  <pageMargins left="0.78740157480314965" right="3.937007874015748E-2" top="0.55118110236220474" bottom="3.937007874015748E-2" header="0.31496062992125984" footer="0.31496062992125984"/>
  <pageSetup paperSize="9" scale="70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23</vt:i4>
      </vt:variant>
      <vt:variant>
        <vt:lpstr>ช่วงที่มีชื่อ</vt:lpstr>
      </vt:variant>
      <vt:variant>
        <vt:i4>23</vt:i4>
      </vt:variant>
    </vt:vector>
  </HeadingPairs>
  <TitlesOfParts>
    <vt:vector size="46" baseType="lpstr">
      <vt:lpstr>PB 40(ปลอก)</vt:lpstr>
      <vt:lpstr>PVC 100(ปลอก)</vt:lpstr>
      <vt:lpstr>PB 50(ปลอก)</vt:lpstr>
      <vt:lpstr>PB 40ราชการ</vt:lpstr>
      <vt:lpstr>PB 40</vt:lpstr>
      <vt:lpstr>PB 50</vt:lpstr>
      <vt:lpstr>PVC 100 (ปลอก)</vt:lpstr>
      <vt:lpstr>PVC 100</vt:lpstr>
      <vt:lpstr>PVC 150 (ปลอก)</vt:lpstr>
      <vt:lpstr>PVC 150</vt:lpstr>
      <vt:lpstr>PVC 200 (ปลอก)</vt:lpstr>
      <vt:lpstr>PVC 200</vt:lpstr>
      <vt:lpstr>PVC 300</vt:lpstr>
      <vt:lpstr>PE 110 (ปลอก)</vt:lpstr>
      <vt:lpstr>PE 110</vt:lpstr>
      <vt:lpstr>PE 160 ปลอก</vt:lpstr>
      <vt:lpstr>PE 160</vt:lpstr>
      <vt:lpstr>PE 225 (ปลอก)</vt:lpstr>
      <vt:lpstr>PE 225</vt:lpstr>
      <vt:lpstr>PE 315 (ปลอก)</vt:lpstr>
      <vt:lpstr>ชั่วคราว PE 315 </vt:lpstr>
      <vt:lpstr>PE 315</vt:lpstr>
      <vt:lpstr>PE 400</vt:lpstr>
      <vt:lpstr>'PB 40'!Print_Area</vt:lpstr>
      <vt:lpstr>'PB 40(ปลอก)'!Print_Area</vt:lpstr>
      <vt:lpstr>'PB 40ราชการ'!Print_Area</vt:lpstr>
      <vt:lpstr>'PB 50'!Print_Area</vt:lpstr>
      <vt:lpstr>'PB 50(ปลอก)'!Print_Area</vt:lpstr>
      <vt:lpstr>'PE 110'!Print_Area</vt:lpstr>
      <vt:lpstr>'PE 110 (ปลอก)'!Print_Area</vt:lpstr>
      <vt:lpstr>'PE 160'!Print_Area</vt:lpstr>
      <vt:lpstr>'PE 160 ปลอก'!Print_Area</vt:lpstr>
      <vt:lpstr>'PE 225'!Print_Area</vt:lpstr>
      <vt:lpstr>'PE 225 (ปลอก)'!Print_Area</vt:lpstr>
      <vt:lpstr>'PE 315'!Print_Area</vt:lpstr>
      <vt:lpstr>'PE 315 (ปลอก)'!Print_Area</vt:lpstr>
      <vt:lpstr>'PE 400'!Print_Area</vt:lpstr>
      <vt:lpstr>'PVC 100'!Print_Area</vt:lpstr>
      <vt:lpstr>'PVC 100 (ปลอก)'!Print_Area</vt:lpstr>
      <vt:lpstr>'PVC 100(ปลอก)'!Print_Area</vt:lpstr>
      <vt:lpstr>'PVC 150'!Print_Area</vt:lpstr>
      <vt:lpstr>'PVC 150 (ปลอก)'!Print_Area</vt:lpstr>
      <vt:lpstr>'PVC 200'!Print_Area</vt:lpstr>
      <vt:lpstr>'PVC 200 (ปลอก)'!Print_Area</vt:lpstr>
      <vt:lpstr>'PVC 300'!Print_Area</vt:lpstr>
      <vt:lpstr>'ชั่วคราว PE 315 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2026-01-19T10:47:06Z</dcterms:modified>
</cp:coreProperties>
</file>